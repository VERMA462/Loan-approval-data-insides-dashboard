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 project\"/>
    </mc:Choice>
  </mc:AlternateContent>
  <xr:revisionPtr revIDLastSave="0" documentId="13_ncr:1_{209BE79E-30F0-439D-807D-0BDE88E7E0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L10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" i="1"/>
  <c r="L2" i="1"/>
  <c r="L3" i="1"/>
  <c r="L4" i="1"/>
  <c r="L5" i="1"/>
  <c r="L6" i="1"/>
  <c r="L7" i="1"/>
  <c r="L8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K202" i="1"/>
  <c r="J202" i="1"/>
  <c r="I202" i="1"/>
  <c r="H202" i="1"/>
  <c r="G202" i="1"/>
  <c r="F202" i="1"/>
  <c r="E202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02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203" i="1"/>
  <c r="C204" i="1"/>
  <c r="C205" i="1"/>
  <c r="C202" i="1"/>
  <c r="B210" i="1"/>
  <c r="D410" i="1" s="1"/>
  <c r="B211" i="1"/>
  <c r="D411" i="1" s="1"/>
  <c r="B212" i="1"/>
  <c r="D412" i="1" s="1"/>
  <c r="B213" i="1"/>
  <c r="D413" i="1" s="1"/>
  <c r="B214" i="1"/>
  <c r="D414" i="1" s="1"/>
  <c r="B215" i="1"/>
  <c r="D415" i="1" s="1"/>
  <c r="B216" i="1"/>
  <c r="D416" i="1" s="1"/>
  <c r="B217" i="1"/>
  <c r="D417" i="1" s="1"/>
  <c r="B218" i="1"/>
  <c r="D418" i="1" s="1"/>
  <c r="B219" i="1"/>
  <c r="D419" i="1" s="1"/>
  <c r="B220" i="1"/>
  <c r="D420" i="1" s="1"/>
  <c r="B221" i="1"/>
  <c r="D421" i="1" s="1"/>
  <c r="B222" i="1"/>
  <c r="D422" i="1" s="1"/>
  <c r="B223" i="1"/>
  <c r="D423" i="1" s="1"/>
  <c r="B224" i="1"/>
  <c r="D424" i="1" s="1"/>
  <c r="B225" i="1"/>
  <c r="D425" i="1" s="1"/>
  <c r="B226" i="1"/>
  <c r="D426" i="1" s="1"/>
  <c r="B227" i="1"/>
  <c r="D427" i="1" s="1"/>
  <c r="B228" i="1"/>
  <c r="D428" i="1" s="1"/>
  <c r="B229" i="1"/>
  <c r="D429" i="1" s="1"/>
  <c r="B230" i="1"/>
  <c r="D430" i="1" s="1"/>
  <c r="B231" i="1"/>
  <c r="D431" i="1" s="1"/>
  <c r="B232" i="1"/>
  <c r="D432" i="1" s="1"/>
  <c r="B233" i="1"/>
  <c r="D433" i="1" s="1"/>
  <c r="B234" i="1"/>
  <c r="D434" i="1" s="1"/>
  <c r="B235" i="1"/>
  <c r="D435" i="1" s="1"/>
  <c r="B236" i="1"/>
  <c r="D436" i="1" s="1"/>
  <c r="B237" i="1"/>
  <c r="D437" i="1" s="1"/>
  <c r="B238" i="1"/>
  <c r="D438" i="1" s="1"/>
  <c r="B239" i="1"/>
  <c r="D439" i="1" s="1"/>
  <c r="B240" i="1"/>
  <c r="D440" i="1" s="1"/>
  <c r="B241" i="1"/>
  <c r="D441" i="1" s="1"/>
  <c r="B242" i="1"/>
  <c r="D442" i="1" s="1"/>
  <c r="B243" i="1"/>
  <c r="D443" i="1" s="1"/>
  <c r="B244" i="1"/>
  <c r="D444" i="1" s="1"/>
  <c r="B245" i="1"/>
  <c r="D445" i="1" s="1"/>
  <c r="B246" i="1"/>
  <c r="D446" i="1" s="1"/>
  <c r="B247" i="1"/>
  <c r="D447" i="1" s="1"/>
  <c r="B248" i="1"/>
  <c r="D448" i="1" s="1"/>
  <c r="B249" i="1"/>
  <c r="D449" i="1" s="1"/>
  <c r="B250" i="1"/>
  <c r="D450" i="1" s="1"/>
  <c r="B251" i="1"/>
  <c r="D451" i="1" s="1"/>
  <c r="B252" i="1"/>
  <c r="D452" i="1" s="1"/>
  <c r="B253" i="1"/>
  <c r="D453" i="1" s="1"/>
  <c r="B254" i="1"/>
  <c r="D454" i="1" s="1"/>
  <c r="B255" i="1"/>
  <c r="D455" i="1" s="1"/>
  <c r="B256" i="1"/>
  <c r="D456" i="1" s="1"/>
  <c r="B257" i="1"/>
  <c r="D457" i="1" s="1"/>
  <c r="B258" i="1"/>
  <c r="D458" i="1" s="1"/>
  <c r="B259" i="1"/>
  <c r="D459" i="1" s="1"/>
  <c r="B260" i="1"/>
  <c r="D460" i="1" s="1"/>
  <c r="B261" i="1"/>
  <c r="D461" i="1" s="1"/>
  <c r="B262" i="1"/>
  <c r="D462" i="1" s="1"/>
  <c r="B263" i="1"/>
  <c r="D463" i="1" s="1"/>
  <c r="B264" i="1"/>
  <c r="D464" i="1" s="1"/>
  <c r="B265" i="1"/>
  <c r="D465" i="1" s="1"/>
  <c r="B266" i="1"/>
  <c r="D466" i="1" s="1"/>
  <c r="B267" i="1"/>
  <c r="D467" i="1" s="1"/>
  <c r="B268" i="1"/>
  <c r="D468" i="1" s="1"/>
  <c r="B269" i="1"/>
  <c r="D469" i="1" s="1"/>
  <c r="B270" i="1"/>
  <c r="D470" i="1" s="1"/>
  <c r="B271" i="1"/>
  <c r="D471" i="1" s="1"/>
  <c r="B272" i="1"/>
  <c r="D472" i="1" s="1"/>
  <c r="B273" i="1"/>
  <c r="D473" i="1" s="1"/>
  <c r="B274" i="1"/>
  <c r="D474" i="1" s="1"/>
  <c r="B275" i="1"/>
  <c r="D475" i="1" s="1"/>
  <c r="B276" i="1"/>
  <c r="D476" i="1" s="1"/>
  <c r="B277" i="1"/>
  <c r="D477" i="1" s="1"/>
  <c r="B278" i="1"/>
  <c r="D478" i="1" s="1"/>
  <c r="B279" i="1"/>
  <c r="D479" i="1" s="1"/>
  <c r="B280" i="1"/>
  <c r="D480" i="1" s="1"/>
  <c r="B281" i="1"/>
  <c r="D481" i="1" s="1"/>
  <c r="B282" i="1"/>
  <c r="D482" i="1" s="1"/>
  <c r="B283" i="1"/>
  <c r="D483" i="1" s="1"/>
  <c r="B284" i="1"/>
  <c r="D484" i="1" s="1"/>
  <c r="B285" i="1"/>
  <c r="D485" i="1" s="1"/>
  <c r="B286" i="1"/>
  <c r="D486" i="1" s="1"/>
  <c r="B287" i="1"/>
  <c r="D487" i="1" s="1"/>
  <c r="B288" i="1"/>
  <c r="D488" i="1" s="1"/>
  <c r="B289" i="1"/>
  <c r="D489" i="1" s="1"/>
  <c r="B290" i="1"/>
  <c r="D490" i="1" s="1"/>
  <c r="B291" i="1"/>
  <c r="D491" i="1" s="1"/>
  <c r="B292" i="1"/>
  <c r="D492" i="1" s="1"/>
  <c r="B293" i="1"/>
  <c r="D493" i="1" s="1"/>
  <c r="B294" i="1"/>
  <c r="D494" i="1" s="1"/>
  <c r="B295" i="1"/>
  <c r="D495" i="1" s="1"/>
  <c r="B296" i="1"/>
  <c r="D496" i="1" s="1"/>
  <c r="B297" i="1"/>
  <c r="D497" i="1" s="1"/>
  <c r="B298" i="1"/>
  <c r="D498" i="1" s="1"/>
  <c r="B299" i="1"/>
  <c r="D499" i="1" s="1"/>
  <c r="B300" i="1"/>
  <c r="D500" i="1" s="1"/>
  <c r="B301" i="1"/>
  <c r="D501" i="1" s="1"/>
  <c r="B302" i="1"/>
  <c r="D502" i="1" s="1"/>
  <c r="B303" i="1"/>
  <c r="D503" i="1" s="1"/>
  <c r="B304" i="1"/>
  <c r="D504" i="1" s="1"/>
  <c r="B305" i="1"/>
  <c r="D505" i="1" s="1"/>
  <c r="B306" i="1"/>
  <c r="D506" i="1" s="1"/>
  <c r="B307" i="1"/>
  <c r="D507" i="1" s="1"/>
  <c r="B308" i="1"/>
  <c r="D508" i="1" s="1"/>
  <c r="B309" i="1"/>
  <c r="D509" i="1" s="1"/>
  <c r="B310" i="1"/>
  <c r="D510" i="1" s="1"/>
  <c r="B311" i="1"/>
  <c r="D511" i="1" s="1"/>
  <c r="B312" i="1"/>
  <c r="D512" i="1" s="1"/>
  <c r="B313" i="1"/>
  <c r="D513" i="1" s="1"/>
  <c r="B314" i="1"/>
  <c r="D514" i="1" s="1"/>
  <c r="B315" i="1"/>
  <c r="D515" i="1" s="1"/>
  <c r="B316" i="1"/>
  <c r="D516" i="1" s="1"/>
  <c r="B317" i="1"/>
  <c r="D517" i="1" s="1"/>
  <c r="B318" i="1"/>
  <c r="D518" i="1" s="1"/>
  <c r="B319" i="1"/>
  <c r="D519" i="1" s="1"/>
  <c r="B320" i="1"/>
  <c r="D520" i="1" s="1"/>
  <c r="B321" i="1"/>
  <c r="D521" i="1" s="1"/>
  <c r="B322" i="1"/>
  <c r="D522" i="1" s="1"/>
  <c r="B323" i="1"/>
  <c r="D523" i="1" s="1"/>
  <c r="B324" i="1"/>
  <c r="D524" i="1" s="1"/>
  <c r="B325" i="1"/>
  <c r="D525" i="1" s="1"/>
  <c r="B326" i="1"/>
  <c r="D526" i="1" s="1"/>
  <c r="B327" i="1"/>
  <c r="D527" i="1" s="1"/>
  <c r="B328" i="1"/>
  <c r="D528" i="1" s="1"/>
  <c r="B329" i="1"/>
  <c r="D529" i="1" s="1"/>
  <c r="B330" i="1"/>
  <c r="D530" i="1" s="1"/>
  <c r="B331" i="1"/>
  <c r="D531" i="1" s="1"/>
  <c r="B332" i="1"/>
  <c r="D532" i="1" s="1"/>
  <c r="B333" i="1"/>
  <c r="D533" i="1" s="1"/>
  <c r="B334" i="1"/>
  <c r="D534" i="1" s="1"/>
  <c r="B335" i="1"/>
  <c r="D535" i="1" s="1"/>
  <c r="B336" i="1"/>
  <c r="D536" i="1" s="1"/>
  <c r="B337" i="1"/>
  <c r="D537" i="1" s="1"/>
  <c r="B338" i="1"/>
  <c r="D538" i="1" s="1"/>
  <c r="B339" i="1"/>
  <c r="D539" i="1" s="1"/>
  <c r="B340" i="1"/>
  <c r="D540" i="1" s="1"/>
  <c r="B341" i="1"/>
  <c r="D541" i="1" s="1"/>
  <c r="B342" i="1"/>
  <c r="D542" i="1" s="1"/>
  <c r="B343" i="1"/>
  <c r="D543" i="1" s="1"/>
  <c r="B344" i="1"/>
  <c r="D544" i="1" s="1"/>
  <c r="B345" i="1"/>
  <c r="D545" i="1" s="1"/>
  <c r="B346" i="1"/>
  <c r="D546" i="1" s="1"/>
  <c r="B347" i="1"/>
  <c r="D547" i="1" s="1"/>
  <c r="B348" i="1"/>
  <c r="D548" i="1" s="1"/>
  <c r="B349" i="1"/>
  <c r="D549" i="1" s="1"/>
  <c r="B350" i="1"/>
  <c r="D550" i="1" s="1"/>
  <c r="B351" i="1"/>
  <c r="D551" i="1" s="1"/>
  <c r="B352" i="1"/>
  <c r="D552" i="1" s="1"/>
  <c r="B353" i="1"/>
  <c r="D553" i="1" s="1"/>
  <c r="B354" i="1"/>
  <c r="D554" i="1" s="1"/>
  <c r="B355" i="1"/>
  <c r="D555" i="1" s="1"/>
  <c r="B356" i="1"/>
  <c r="D556" i="1" s="1"/>
  <c r="B357" i="1"/>
  <c r="D557" i="1" s="1"/>
  <c r="B358" i="1"/>
  <c r="D558" i="1" s="1"/>
  <c r="B359" i="1"/>
  <c r="D559" i="1" s="1"/>
  <c r="B360" i="1"/>
  <c r="D560" i="1" s="1"/>
  <c r="B361" i="1"/>
  <c r="D561" i="1" s="1"/>
  <c r="B362" i="1"/>
  <c r="D562" i="1" s="1"/>
  <c r="B363" i="1"/>
  <c r="D563" i="1" s="1"/>
  <c r="B364" i="1"/>
  <c r="D564" i="1" s="1"/>
  <c r="B365" i="1"/>
  <c r="D565" i="1" s="1"/>
  <c r="B366" i="1"/>
  <c r="D566" i="1" s="1"/>
  <c r="B367" i="1"/>
  <c r="D567" i="1" s="1"/>
  <c r="B368" i="1"/>
  <c r="D568" i="1" s="1"/>
  <c r="B369" i="1"/>
  <c r="D569" i="1" s="1"/>
  <c r="B370" i="1"/>
  <c r="D570" i="1" s="1"/>
  <c r="B371" i="1"/>
  <c r="D571" i="1" s="1"/>
  <c r="B372" i="1"/>
  <c r="D572" i="1" s="1"/>
  <c r="B373" i="1"/>
  <c r="D573" i="1" s="1"/>
  <c r="B374" i="1"/>
  <c r="D574" i="1" s="1"/>
  <c r="B375" i="1"/>
  <c r="D575" i="1" s="1"/>
  <c r="B376" i="1"/>
  <c r="D576" i="1" s="1"/>
  <c r="B377" i="1"/>
  <c r="D577" i="1" s="1"/>
  <c r="B378" i="1"/>
  <c r="D578" i="1" s="1"/>
  <c r="B379" i="1"/>
  <c r="D579" i="1" s="1"/>
  <c r="B380" i="1"/>
  <c r="D580" i="1" s="1"/>
  <c r="B381" i="1"/>
  <c r="D581" i="1" s="1"/>
  <c r="B382" i="1"/>
  <c r="D582" i="1" s="1"/>
  <c r="B383" i="1"/>
  <c r="D583" i="1" s="1"/>
  <c r="B384" i="1"/>
  <c r="D584" i="1" s="1"/>
  <c r="B385" i="1"/>
  <c r="D585" i="1" s="1"/>
  <c r="B386" i="1"/>
  <c r="D586" i="1" s="1"/>
  <c r="B387" i="1"/>
  <c r="D587" i="1" s="1"/>
  <c r="B388" i="1"/>
  <c r="D588" i="1" s="1"/>
  <c r="B389" i="1"/>
  <c r="D589" i="1" s="1"/>
  <c r="B390" i="1"/>
  <c r="D590" i="1" s="1"/>
  <c r="B391" i="1"/>
  <c r="D591" i="1" s="1"/>
  <c r="B392" i="1"/>
  <c r="D592" i="1" s="1"/>
  <c r="B393" i="1"/>
  <c r="D593" i="1" s="1"/>
  <c r="B394" i="1"/>
  <c r="D594" i="1" s="1"/>
  <c r="B395" i="1"/>
  <c r="D595" i="1" s="1"/>
  <c r="B396" i="1"/>
  <c r="D596" i="1" s="1"/>
  <c r="B397" i="1"/>
  <c r="D597" i="1" s="1"/>
  <c r="B398" i="1"/>
  <c r="D598" i="1" s="1"/>
  <c r="B399" i="1"/>
  <c r="D599" i="1" s="1"/>
  <c r="B400" i="1"/>
  <c r="D600" i="1" s="1"/>
  <c r="B401" i="1"/>
  <c r="D601" i="1" s="1"/>
  <c r="B402" i="1"/>
  <c r="D602" i="1" s="1"/>
  <c r="B403" i="1"/>
  <c r="D603" i="1" s="1"/>
  <c r="B404" i="1"/>
  <c r="D604" i="1" s="1"/>
  <c r="B405" i="1"/>
  <c r="D605" i="1" s="1"/>
  <c r="B406" i="1"/>
  <c r="D606" i="1" s="1"/>
  <c r="B407" i="1"/>
  <c r="D607" i="1" s="1"/>
  <c r="B408" i="1"/>
  <c r="D608" i="1" s="1"/>
  <c r="B409" i="1"/>
  <c r="D609" i="1" s="1"/>
  <c r="B410" i="1"/>
  <c r="D610" i="1" s="1"/>
  <c r="B411" i="1"/>
  <c r="D611" i="1" s="1"/>
  <c r="B412" i="1"/>
  <c r="D612" i="1" s="1"/>
  <c r="B413" i="1"/>
  <c r="D613" i="1" s="1"/>
  <c r="B414" i="1"/>
  <c r="D614" i="1" s="1"/>
  <c r="B415" i="1"/>
  <c r="D615" i="1" s="1"/>
  <c r="B416" i="1"/>
  <c r="D616" i="1" s="1"/>
  <c r="B417" i="1"/>
  <c r="D617" i="1" s="1"/>
  <c r="B418" i="1"/>
  <c r="D618" i="1" s="1"/>
  <c r="B419" i="1"/>
  <c r="D619" i="1" s="1"/>
  <c r="B420" i="1"/>
  <c r="D620" i="1" s="1"/>
  <c r="B421" i="1"/>
  <c r="D621" i="1" s="1"/>
  <c r="B422" i="1"/>
  <c r="D622" i="1" s="1"/>
  <c r="B423" i="1"/>
  <c r="D623" i="1" s="1"/>
  <c r="B424" i="1"/>
  <c r="D624" i="1" s="1"/>
  <c r="B425" i="1"/>
  <c r="D625" i="1" s="1"/>
  <c r="B426" i="1"/>
  <c r="D626" i="1" s="1"/>
  <c r="B427" i="1"/>
  <c r="D627" i="1" s="1"/>
  <c r="B428" i="1"/>
  <c r="D628" i="1" s="1"/>
  <c r="B429" i="1"/>
  <c r="D629" i="1" s="1"/>
  <c r="B430" i="1"/>
  <c r="D630" i="1" s="1"/>
  <c r="B431" i="1"/>
  <c r="D631" i="1" s="1"/>
  <c r="B432" i="1"/>
  <c r="D632" i="1" s="1"/>
  <c r="B433" i="1"/>
  <c r="D633" i="1" s="1"/>
  <c r="B434" i="1"/>
  <c r="D634" i="1" s="1"/>
  <c r="B435" i="1"/>
  <c r="D635" i="1" s="1"/>
  <c r="B436" i="1"/>
  <c r="D636" i="1" s="1"/>
  <c r="B437" i="1"/>
  <c r="D637" i="1" s="1"/>
  <c r="B438" i="1"/>
  <c r="D638" i="1" s="1"/>
  <c r="B439" i="1"/>
  <c r="D639" i="1" s="1"/>
  <c r="B440" i="1"/>
  <c r="D640" i="1" s="1"/>
  <c r="B441" i="1"/>
  <c r="D641" i="1" s="1"/>
  <c r="B442" i="1"/>
  <c r="D642" i="1" s="1"/>
  <c r="B443" i="1"/>
  <c r="D643" i="1" s="1"/>
  <c r="B444" i="1"/>
  <c r="D644" i="1" s="1"/>
  <c r="B445" i="1"/>
  <c r="D645" i="1" s="1"/>
  <c r="B446" i="1"/>
  <c r="D646" i="1" s="1"/>
  <c r="B447" i="1"/>
  <c r="D647" i="1" s="1"/>
  <c r="B448" i="1"/>
  <c r="D648" i="1" s="1"/>
  <c r="B449" i="1"/>
  <c r="D649" i="1" s="1"/>
  <c r="B450" i="1"/>
  <c r="D650" i="1" s="1"/>
  <c r="B451" i="1"/>
  <c r="D651" i="1" s="1"/>
  <c r="B452" i="1"/>
  <c r="D652" i="1" s="1"/>
  <c r="B453" i="1"/>
  <c r="D653" i="1" s="1"/>
  <c r="B454" i="1"/>
  <c r="D654" i="1" s="1"/>
  <c r="B455" i="1"/>
  <c r="D655" i="1" s="1"/>
  <c r="B456" i="1"/>
  <c r="D656" i="1" s="1"/>
  <c r="B457" i="1"/>
  <c r="D657" i="1" s="1"/>
  <c r="B458" i="1"/>
  <c r="D658" i="1" s="1"/>
  <c r="B459" i="1"/>
  <c r="D659" i="1" s="1"/>
  <c r="B460" i="1"/>
  <c r="D660" i="1" s="1"/>
  <c r="B461" i="1"/>
  <c r="D661" i="1" s="1"/>
  <c r="B462" i="1"/>
  <c r="D662" i="1" s="1"/>
  <c r="B463" i="1"/>
  <c r="D663" i="1" s="1"/>
  <c r="B464" i="1"/>
  <c r="D664" i="1" s="1"/>
  <c r="B465" i="1"/>
  <c r="D665" i="1" s="1"/>
  <c r="B466" i="1"/>
  <c r="D666" i="1" s="1"/>
  <c r="B467" i="1"/>
  <c r="D667" i="1" s="1"/>
  <c r="B468" i="1"/>
  <c r="D668" i="1" s="1"/>
  <c r="B469" i="1"/>
  <c r="D669" i="1" s="1"/>
  <c r="B470" i="1"/>
  <c r="D670" i="1" s="1"/>
  <c r="B471" i="1"/>
  <c r="D671" i="1" s="1"/>
  <c r="B472" i="1"/>
  <c r="D672" i="1" s="1"/>
  <c r="B473" i="1"/>
  <c r="D673" i="1" s="1"/>
  <c r="B474" i="1"/>
  <c r="D674" i="1" s="1"/>
  <c r="B475" i="1"/>
  <c r="D675" i="1" s="1"/>
  <c r="B476" i="1"/>
  <c r="D676" i="1" s="1"/>
  <c r="B477" i="1"/>
  <c r="D677" i="1" s="1"/>
  <c r="B478" i="1"/>
  <c r="D678" i="1" s="1"/>
  <c r="B479" i="1"/>
  <c r="D679" i="1" s="1"/>
  <c r="B480" i="1"/>
  <c r="D680" i="1" s="1"/>
  <c r="B481" i="1"/>
  <c r="D681" i="1" s="1"/>
  <c r="B482" i="1"/>
  <c r="D682" i="1" s="1"/>
  <c r="B483" i="1"/>
  <c r="D683" i="1" s="1"/>
  <c r="B484" i="1"/>
  <c r="D684" i="1" s="1"/>
  <c r="B485" i="1"/>
  <c r="D685" i="1" s="1"/>
  <c r="B486" i="1"/>
  <c r="D686" i="1" s="1"/>
  <c r="B487" i="1"/>
  <c r="D687" i="1" s="1"/>
  <c r="B488" i="1"/>
  <c r="D688" i="1" s="1"/>
  <c r="B489" i="1"/>
  <c r="D689" i="1" s="1"/>
  <c r="B490" i="1"/>
  <c r="D690" i="1" s="1"/>
  <c r="B491" i="1"/>
  <c r="D691" i="1" s="1"/>
  <c r="B492" i="1"/>
  <c r="D692" i="1" s="1"/>
  <c r="B493" i="1"/>
  <c r="D693" i="1" s="1"/>
  <c r="B494" i="1"/>
  <c r="D694" i="1" s="1"/>
  <c r="B495" i="1"/>
  <c r="D695" i="1" s="1"/>
  <c r="B496" i="1"/>
  <c r="D696" i="1" s="1"/>
  <c r="B497" i="1"/>
  <c r="D697" i="1" s="1"/>
  <c r="B498" i="1"/>
  <c r="D698" i="1" s="1"/>
  <c r="B499" i="1"/>
  <c r="D699" i="1" s="1"/>
  <c r="B500" i="1"/>
  <c r="D700" i="1" s="1"/>
  <c r="B501" i="1"/>
  <c r="D701" i="1" s="1"/>
  <c r="B502" i="1"/>
  <c r="D702" i="1" s="1"/>
  <c r="B503" i="1"/>
  <c r="D703" i="1" s="1"/>
  <c r="B504" i="1"/>
  <c r="D704" i="1" s="1"/>
  <c r="B505" i="1"/>
  <c r="D705" i="1" s="1"/>
  <c r="B506" i="1"/>
  <c r="D706" i="1" s="1"/>
  <c r="B507" i="1"/>
  <c r="D707" i="1" s="1"/>
  <c r="B508" i="1"/>
  <c r="D708" i="1" s="1"/>
  <c r="B509" i="1"/>
  <c r="D709" i="1" s="1"/>
  <c r="B510" i="1"/>
  <c r="D710" i="1" s="1"/>
  <c r="B511" i="1"/>
  <c r="D711" i="1" s="1"/>
  <c r="B512" i="1"/>
  <c r="D712" i="1" s="1"/>
  <c r="B513" i="1"/>
  <c r="D713" i="1" s="1"/>
  <c r="B514" i="1"/>
  <c r="D714" i="1" s="1"/>
  <c r="B515" i="1"/>
  <c r="D715" i="1" s="1"/>
  <c r="B516" i="1"/>
  <c r="D716" i="1" s="1"/>
  <c r="B517" i="1"/>
  <c r="D717" i="1" s="1"/>
  <c r="B518" i="1"/>
  <c r="D718" i="1" s="1"/>
  <c r="B519" i="1"/>
  <c r="D719" i="1" s="1"/>
  <c r="B520" i="1"/>
  <c r="D720" i="1" s="1"/>
  <c r="B521" i="1"/>
  <c r="D721" i="1" s="1"/>
  <c r="B522" i="1"/>
  <c r="D722" i="1" s="1"/>
  <c r="B523" i="1"/>
  <c r="D723" i="1" s="1"/>
  <c r="B524" i="1"/>
  <c r="D724" i="1" s="1"/>
  <c r="B525" i="1"/>
  <c r="D725" i="1" s="1"/>
  <c r="B526" i="1"/>
  <c r="D726" i="1" s="1"/>
  <c r="B527" i="1"/>
  <c r="D727" i="1" s="1"/>
  <c r="B528" i="1"/>
  <c r="D728" i="1" s="1"/>
  <c r="B529" i="1"/>
  <c r="D729" i="1" s="1"/>
  <c r="B530" i="1"/>
  <c r="D730" i="1" s="1"/>
  <c r="B531" i="1"/>
  <c r="D731" i="1" s="1"/>
  <c r="B532" i="1"/>
  <c r="D732" i="1" s="1"/>
  <c r="B533" i="1"/>
  <c r="D733" i="1" s="1"/>
  <c r="B534" i="1"/>
  <c r="D734" i="1" s="1"/>
  <c r="B535" i="1"/>
  <c r="D735" i="1" s="1"/>
  <c r="B536" i="1"/>
  <c r="D736" i="1" s="1"/>
  <c r="B537" i="1"/>
  <c r="D737" i="1" s="1"/>
  <c r="B538" i="1"/>
  <c r="D738" i="1" s="1"/>
  <c r="B539" i="1"/>
  <c r="D739" i="1" s="1"/>
  <c r="B540" i="1"/>
  <c r="D740" i="1" s="1"/>
  <c r="B541" i="1"/>
  <c r="D741" i="1" s="1"/>
  <c r="B542" i="1"/>
  <c r="D742" i="1" s="1"/>
  <c r="B543" i="1"/>
  <c r="D743" i="1" s="1"/>
  <c r="B544" i="1"/>
  <c r="D744" i="1" s="1"/>
  <c r="B545" i="1"/>
  <c r="D745" i="1" s="1"/>
  <c r="B546" i="1"/>
  <c r="D746" i="1" s="1"/>
  <c r="B547" i="1"/>
  <c r="D747" i="1" s="1"/>
  <c r="B548" i="1"/>
  <c r="D748" i="1" s="1"/>
  <c r="B549" i="1"/>
  <c r="D749" i="1" s="1"/>
  <c r="B550" i="1"/>
  <c r="D750" i="1" s="1"/>
  <c r="B551" i="1"/>
  <c r="D751" i="1" s="1"/>
  <c r="B552" i="1"/>
  <c r="D752" i="1" s="1"/>
  <c r="B553" i="1"/>
  <c r="D753" i="1" s="1"/>
  <c r="B554" i="1"/>
  <c r="D754" i="1" s="1"/>
  <c r="B555" i="1"/>
  <c r="D755" i="1" s="1"/>
  <c r="B556" i="1"/>
  <c r="D756" i="1" s="1"/>
  <c r="B557" i="1"/>
  <c r="D757" i="1" s="1"/>
  <c r="B558" i="1"/>
  <c r="D758" i="1" s="1"/>
  <c r="B559" i="1"/>
  <c r="D759" i="1" s="1"/>
  <c r="B560" i="1"/>
  <c r="D760" i="1" s="1"/>
  <c r="B561" i="1"/>
  <c r="D761" i="1" s="1"/>
  <c r="B562" i="1"/>
  <c r="D762" i="1" s="1"/>
  <c r="B563" i="1"/>
  <c r="D763" i="1" s="1"/>
  <c r="B564" i="1"/>
  <c r="D764" i="1" s="1"/>
  <c r="B565" i="1"/>
  <c r="D765" i="1" s="1"/>
  <c r="B566" i="1"/>
  <c r="D766" i="1" s="1"/>
  <c r="B567" i="1"/>
  <c r="D767" i="1" s="1"/>
  <c r="B568" i="1"/>
  <c r="D768" i="1" s="1"/>
  <c r="B569" i="1"/>
  <c r="D769" i="1" s="1"/>
  <c r="B570" i="1"/>
  <c r="D770" i="1" s="1"/>
  <c r="B571" i="1"/>
  <c r="D771" i="1" s="1"/>
  <c r="B572" i="1"/>
  <c r="D772" i="1" s="1"/>
  <c r="B573" i="1"/>
  <c r="D773" i="1" s="1"/>
  <c r="B574" i="1"/>
  <c r="D774" i="1" s="1"/>
  <c r="B575" i="1"/>
  <c r="D775" i="1" s="1"/>
  <c r="B576" i="1"/>
  <c r="D776" i="1" s="1"/>
  <c r="B577" i="1"/>
  <c r="D777" i="1" s="1"/>
  <c r="B578" i="1"/>
  <c r="D778" i="1" s="1"/>
  <c r="B579" i="1"/>
  <c r="D779" i="1" s="1"/>
  <c r="B580" i="1"/>
  <c r="D780" i="1" s="1"/>
  <c r="B581" i="1"/>
  <c r="D781" i="1" s="1"/>
  <c r="B582" i="1"/>
  <c r="D782" i="1" s="1"/>
  <c r="B583" i="1"/>
  <c r="D783" i="1" s="1"/>
  <c r="B584" i="1"/>
  <c r="D784" i="1" s="1"/>
  <c r="B585" i="1"/>
  <c r="D785" i="1" s="1"/>
  <c r="B586" i="1"/>
  <c r="D786" i="1" s="1"/>
  <c r="B587" i="1"/>
  <c r="D787" i="1" s="1"/>
  <c r="B588" i="1"/>
  <c r="D788" i="1" s="1"/>
  <c r="B589" i="1"/>
  <c r="D789" i="1" s="1"/>
  <c r="B590" i="1"/>
  <c r="D790" i="1" s="1"/>
  <c r="B591" i="1"/>
  <c r="D791" i="1" s="1"/>
  <c r="B592" i="1"/>
  <c r="D792" i="1" s="1"/>
  <c r="B593" i="1"/>
  <c r="D793" i="1" s="1"/>
  <c r="B594" i="1"/>
  <c r="D794" i="1" s="1"/>
  <c r="B595" i="1"/>
  <c r="D795" i="1" s="1"/>
  <c r="B596" i="1"/>
  <c r="D796" i="1" s="1"/>
  <c r="B597" i="1"/>
  <c r="D797" i="1" s="1"/>
  <c r="B598" i="1"/>
  <c r="D798" i="1" s="1"/>
  <c r="B599" i="1"/>
  <c r="D799" i="1" s="1"/>
  <c r="B600" i="1"/>
  <c r="D800" i="1" s="1"/>
  <c r="B601" i="1"/>
  <c r="D801" i="1" s="1"/>
  <c r="B602" i="1"/>
  <c r="D802" i="1" s="1"/>
  <c r="B603" i="1"/>
  <c r="D803" i="1" s="1"/>
  <c r="B604" i="1"/>
  <c r="D804" i="1" s="1"/>
  <c r="B605" i="1"/>
  <c r="D805" i="1" s="1"/>
  <c r="B606" i="1"/>
  <c r="D806" i="1" s="1"/>
  <c r="B607" i="1"/>
  <c r="D807" i="1" s="1"/>
  <c r="B608" i="1"/>
  <c r="D808" i="1" s="1"/>
  <c r="B609" i="1"/>
  <c r="D809" i="1" s="1"/>
  <c r="B610" i="1"/>
  <c r="D810" i="1" s="1"/>
  <c r="B611" i="1"/>
  <c r="D811" i="1" s="1"/>
  <c r="B612" i="1"/>
  <c r="D812" i="1" s="1"/>
  <c r="B613" i="1"/>
  <c r="D813" i="1" s="1"/>
  <c r="B614" i="1"/>
  <c r="D814" i="1" s="1"/>
  <c r="B615" i="1"/>
  <c r="D815" i="1" s="1"/>
  <c r="B616" i="1"/>
  <c r="D816" i="1" s="1"/>
  <c r="B617" i="1"/>
  <c r="D817" i="1" s="1"/>
  <c r="B618" i="1"/>
  <c r="D818" i="1" s="1"/>
  <c r="B619" i="1"/>
  <c r="D819" i="1" s="1"/>
  <c r="B620" i="1"/>
  <c r="D820" i="1" s="1"/>
  <c r="B621" i="1"/>
  <c r="D821" i="1" s="1"/>
  <c r="B622" i="1"/>
  <c r="D822" i="1" s="1"/>
  <c r="B623" i="1"/>
  <c r="D823" i="1" s="1"/>
  <c r="B624" i="1"/>
  <c r="D824" i="1" s="1"/>
  <c r="B625" i="1"/>
  <c r="D825" i="1" s="1"/>
  <c r="B626" i="1"/>
  <c r="D826" i="1" s="1"/>
  <c r="B627" i="1"/>
  <c r="D827" i="1" s="1"/>
  <c r="B628" i="1"/>
  <c r="D828" i="1" s="1"/>
  <c r="B629" i="1"/>
  <c r="D829" i="1" s="1"/>
  <c r="B630" i="1"/>
  <c r="D830" i="1" s="1"/>
  <c r="B631" i="1"/>
  <c r="D831" i="1" s="1"/>
  <c r="B632" i="1"/>
  <c r="D832" i="1" s="1"/>
  <c r="B633" i="1"/>
  <c r="D833" i="1" s="1"/>
  <c r="B634" i="1"/>
  <c r="D834" i="1" s="1"/>
  <c r="B635" i="1"/>
  <c r="D835" i="1" s="1"/>
  <c r="B636" i="1"/>
  <c r="D836" i="1" s="1"/>
  <c r="B637" i="1"/>
  <c r="D837" i="1" s="1"/>
  <c r="B638" i="1"/>
  <c r="D838" i="1" s="1"/>
  <c r="B639" i="1"/>
  <c r="D839" i="1" s="1"/>
  <c r="B640" i="1"/>
  <c r="D840" i="1" s="1"/>
  <c r="B641" i="1"/>
  <c r="D841" i="1" s="1"/>
  <c r="B642" i="1"/>
  <c r="D842" i="1" s="1"/>
  <c r="B643" i="1"/>
  <c r="D843" i="1" s="1"/>
  <c r="B644" i="1"/>
  <c r="D844" i="1" s="1"/>
  <c r="B645" i="1"/>
  <c r="D845" i="1" s="1"/>
  <c r="B646" i="1"/>
  <c r="D846" i="1" s="1"/>
  <c r="B647" i="1"/>
  <c r="D847" i="1" s="1"/>
  <c r="B648" i="1"/>
  <c r="D848" i="1" s="1"/>
  <c r="B649" i="1"/>
  <c r="D849" i="1" s="1"/>
  <c r="B650" i="1"/>
  <c r="D850" i="1" s="1"/>
  <c r="B651" i="1"/>
  <c r="D851" i="1" s="1"/>
  <c r="B652" i="1"/>
  <c r="D852" i="1" s="1"/>
  <c r="B653" i="1"/>
  <c r="D853" i="1" s="1"/>
  <c r="B654" i="1"/>
  <c r="D854" i="1" s="1"/>
  <c r="B655" i="1"/>
  <c r="D855" i="1" s="1"/>
  <c r="B656" i="1"/>
  <c r="D856" i="1" s="1"/>
  <c r="B657" i="1"/>
  <c r="D857" i="1" s="1"/>
  <c r="B658" i="1"/>
  <c r="D858" i="1" s="1"/>
  <c r="B659" i="1"/>
  <c r="D859" i="1" s="1"/>
  <c r="B660" i="1"/>
  <c r="D860" i="1" s="1"/>
  <c r="B661" i="1"/>
  <c r="D861" i="1" s="1"/>
  <c r="B662" i="1"/>
  <c r="D862" i="1" s="1"/>
  <c r="B663" i="1"/>
  <c r="D863" i="1" s="1"/>
  <c r="B664" i="1"/>
  <c r="D864" i="1" s="1"/>
  <c r="B665" i="1"/>
  <c r="D865" i="1" s="1"/>
  <c r="B666" i="1"/>
  <c r="D866" i="1" s="1"/>
  <c r="B667" i="1"/>
  <c r="D867" i="1" s="1"/>
  <c r="B668" i="1"/>
  <c r="D868" i="1" s="1"/>
  <c r="B669" i="1"/>
  <c r="D869" i="1" s="1"/>
  <c r="B670" i="1"/>
  <c r="D870" i="1" s="1"/>
  <c r="B671" i="1"/>
  <c r="D871" i="1" s="1"/>
  <c r="B672" i="1"/>
  <c r="D872" i="1" s="1"/>
  <c r="B673" i="1"/>
  <c r="D873" i="1" s="1"/>
  <c r="B674" i="1"/>
  <c r="D874" i="1" s="1"/>
  <c r="B675" i="1"/>
  <c r="D875" i="1" s="1"/>
  <c r="B676" i="1"/>
  <c r="D876" i="1" s="1"/>
  <c r="B677" i="1"/>
  <c r="D877" i="1" s="1"/>
  <c r="B678" i="1"/>
  <c r="D878" i="1" s="1"/>
  <c r="B679" i="1"/>
  <c r="D879" i="1" s="1"/>
  <c r="B680" i="1"/>
  <c r="D880" i="1" s="1"/>
  <c r="B681" i="1"/>
  <c r="D881" i="1" s="1"/>
  <c r="B682" i="1"/>
  <c r="D882" i="1" s="1"/>
  <c r="B683" i="1"/>
  <c r="D883" i="1" s="1"/>
  <c r="B684" i="1"/>
  <c r="D884" i="1" s="1"/>
  <c r="B685" i="1"/>
  <c r="D885" i="1" s="1"/>
  <c r="B686" i="1"/>
  <c r="D886" i="1" s="1"/>
  <c r="B687" i="1"/>
  <c r="D887" i="1" s="1"/>
  <c r="B688" i="1"/>
  <c r="D888" i="1" s="1"/>
  <c r="B689" i="1"/>
  <c r="D889" i="1" s="1"/>
  <c r="B690" i="1"/>
  <c r="D890" i="1" s="1"/>
  <c r="B691" i="1"/>
  <c r="D891" i="1" s="1"/>
  <c r="B692" i="1"/>
  <c r="D892" i="1" s="1"/>
  <c r="B693" i="1"/>
  <c r="D893" i="1" s="1"/>
  <c r="B694" i="1"/>
  <c r="D894" i="1" s="1"/>
  <c r="B695" i="1"/>
  <c r="D895" i="1" s="1"/>
  <c r="B696" i="1"/>
  <c r="D896" i="1" s="1"/>
  <c r="B697" i="1"/>
  <c r="D897" i="1" s="1"/>
  <c r="B698" i="1"/>
  <c r="D898" i="1" s="1"/>
  <c r="B699" i="1"/>
  <c r="D899" i="1" s="1"/>
  <c r="B700" i="1"/>
  <c r="D900" i="1" s="1"/>
  <c r="B701" i="1"/>
  <c r="D901" i="1" s="1"/>
  <c r="B702" i="1"/>
  <c r="D902" i="1" s="1"/>
  <c r="B703" i="1"/>
  <c r="D903" i="1" s="1"/>
  <c r="B704" i="1"/>
  <c r="D904" i="1" s="1"/>
  <c r="B705" i="1"/>
  <c r="D905" i="1" s="1"/>
  <c r="B706" i="1"/>
  <c r="D906" i="1" s="1"/>
  <c r="B707" i="1"/>
  <c r="D907" i="1" s="1"/>
  <c r="B708" i="1"/>
  <c r="D908" i="1" s="1"/>
  <c r="B709" i="1"/>
  <c r="D909" i="1" s="1"/>
  <c r="B710" i="1"/>
  <c r="D910" i="1" s="1"/>
  <c r="B711" i="1"/>
  <c r="D911" i="1" s="1"/>
  <c r="B712" i="1"/>
  <c r="D912" i="1" s="1"/>
  <c r="B713" i="1"/>
  <c r="D913" i="1" s="1"/>
  <c r="B714" i="1"/>
  <c r="D914" i="1" s="1"/>
  <c r="B715" i="1"/>
  <c r="D915" i="1" s="1"/>
  <c r="B716" i="1"/>
  <c r="D916" i="1" s="1"/>
  <c r="B717" i="1"/>
  <c r="D917" i="1" s="1"/>
  <c r="B718" i="1"/>
  <c r="D918" i="1" s="1"/>
  <c r="B719" i="1"/>
  <c r="D919" i="1" s="1"/>
  <c r="B720" i="1"/>
  <c r="D920" i="1" s="1"/>
  <c r="B721" i="1"/>
  <c r="D921" i="1" s="1"/>
  <c r="B722" i="1"/>
  <c r="D922" i="1" s="1"/>
  <c r="B723" i="1"/>
  <c r="D923" i="1" s="1"/>
  <c r="B724" i="1"/>
  <c r="D924" i="1" s="1"/>
  <c r="B725" i="1"/>
  <c r="D925" i="1" s="1"/>
  <c r="B726" i="1"/>
  <c r="D926" i="1" s="1"/>
  <c r="B727" i="1"/>
  <c r="D927" i="1" s="1"/>
  <c r="B728" i="1"/>
  <c r="D928" i="1" s="1"/>
  <c r="B729" i="1"/>
  <c r="D929" i="1" s="1"/>
  <c r="B730" i="1"/>
  <c r="D930" i="1" s="1"/>
  <c r="B731" i="1"/>
  <c r="D931" i="1" s="1"/>
  <c r="B732" i="1"/>
  <c r="D932" i="1" s="1"/>
  <c r="B733" i="1"/>
  <c r="D933" i="1" s="1"/>
  <c r="B734" i="1"/>
  <c r="D934" i="1" s="1"/>
  <c r="B735" i="1"/>
  <c r="D935" i="1" s="1"/>
  <c r="B736" i="1"/>
  <c r="D936" i="1" s="1"/>
  <c r="B737" i="1"/>
  <c r="D937" i="1" s="1"/>
  <c r="B738" i="1"/>
  <c r="D938" i="1" s="1"/>
  <c r="B739" i="1"/>
  <c r="D939" i="1" s="1"/>
  <c r="B740" i="1"/>
  <c r="D940" i="1" s="1"/>
  <c r="B741" i="1"/>
  <c r="D941" i="1" s="1"/>
  <c r="B742" i="1"/>
  <c r="D942" i="1" s="1"/>
  <c r="B743" i="1"/>
  <c r="D943" i="1" s="1"/>
  <c r="B744" i="1"/>
  <c r="D944" i="1" s="1"/>
  <c r="B745" i="1"/>
  <c r="D945" i="1" s="1"/>
  <c r="B746" i="1"/>
  <c r="D946" i="1" s="1"/>
  <c r="B747" i="1"/>
  <c r="D947" i="1" s="1"/>
  <c r="B748" i="1"/>
  <c r="D948" i="1" s="1"/>
  <c r="B749" i="1"/>
  <c r="D949" i="1" s="1"/>
  <c r="B750" i="1"/>
  <c r="D950" i="1" s="1"/>
  <c r="B751" i="1"/>
  <c r="D951" i="1" s="1"/>
  <c r="B752" i="1"/>
  <c r="D952" i="1" s="1"/>
  <c r="B753" i="1"/>
  <c r="D953" i="1" s="1"/>
  <c r="B754" i="1"/>
  <c r="D954" i="1" s="1"/>
  <c r="B755" i="1"/>
  <c r="D955" i="1" s="1"/>
  <c r="B756" i="1"/>
  <c r="D956" i="1" s="1"/>
  <c r="B757" i="1"/>
  <c r="D957" i="1" s="1"/>
  <c r="B758" i="1"/>
  <c r="D958" i="1" s="1"/>
  <c r="B759" i="1"/>
  <c r="D959" i="1" s="1"/>
  <c r="B760" i="1"/>
  <c r="D960" i="1" s="1"/>
  <c r="B761" i="1"/>
  <c r="D961" i="1" s="1"/>
  <c r="B762" i="1"/>
  <c r="D962" i="1" s="1"/>
  <c r="B763" i="1"/>
  <c r="D963" i="1" s="1"/>
  <c r="B764" i="1"/>
  <c r="D964" i="1" s="1"/>
  <c r="B765" i="1"/>
  <c r="D965" i="1" s="1"/>
  <c r="B766" i="1"/>
  <c r="D966" i="1" s="1"/>
  <c r="B767" i="1"/>
  <c r="D967" i="1" s="1"/>
  <c r="B768" i="1"/>
  <c r="D968" i="1" s="1"/>
  <c r="B769" i="1"/>
  <c r="D969" i="1" s="1"/>
  <c r="B770" i="1"/>
  <c r="D970" i="1" s="1"/>
  <c r="B771" i="1"/>
  <c r="D971" i="1" s="1"/>
  <c r="B772" i="1"/>
  <c r="D972" i="1" s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203" i="1"/>
  <c r="D403" i="1" s="1"/>
  <c r="B204" i="1"/>
  <c r="D404" i="1" s="1"/>
  <c r="B205" i="1"/>
  <c r="D405" i="1" s="1"/>
  <c r="B206" i="1"/>
  <c r="D406" i="1" s="1"/>
  <c r="B207" i="1"/>
  <c r="D407" i="1" s="1"/>
  <c r="B208" i="1"/>
  <c r="D408" i="1" s="1"/>
  <c r="B209" i="1"/>
  <c r="D409" i="1" s="1"/>
  <c r="B202" i="1"/>
  <c r="D402" i="1" s="1"/>
  <c r="O971" i="1" l="1"/>
  <c r="O600" i="1"/>
  <c r="O258" i="1"/>
  <c r="O447" i="1"/>
  <c r="O383" i="1"/>
  <c r="O959" i="1"/>
  <c r="O951" i="1"/>
  <c r="O935" i="1"/>
  <c r="O927" i="1"/>
  <c r="O911" i="1"/>
  <c r="O899" i="1"/>
  <c r="O884" i="1"/>
  <c r="O866" i="1"/>
  <c r="O840" i="1"/>
  <c r="O792" i="1"/>
  <c r="O744" i="1"/>
  <c r="O712" i="1"/>
  <c r="O648" i="1"/>
  <c r="O632" i="1"/>
  <c r="O574" i="1"/>
  <c r="O3" i="1"/>
  <c r="O7" i="1"/>
  <c r="O11" i="1"/>
  <c r="O15" i="1"/>
  <c r="O19" i="1"/>
  <c r="O23" i="1"/>
  <c r="O27" i="1"/>
  <c r="O31" i="1"/>
  <c r="O35" i="1"/>
  <c r="O39" i="1"/>
  <c r="O43" i="1"/>
  <c r="O47" i="1"/>
  <c r="O51" i="1"/>
  <c r="O55" i="1"/>
  <c r="O59" i="1"/>
  <c r="O63" i="1"/>
  <c r="O67" i="1"/>
  <c r="O71" i="1"/>
  <c r="O75" i="1"/>
  <c r="O79" i="1"/>
  <c r="O83" i="1"/>
  <c r="O87" i="1"/>
  <c r="O91" i="1"/>
  <c r="O95" i="1"/>
  <c r="O99" i="1"/>
  <c r="O103" i="1"/>
  <c r="O107" i="1"/>
  <c r="O111" i="1"/>
  <c r="O115" i="1"/>
  <c r="O119" i="1"/>
  <c r="O123" i="1"/>
  <c r="O127" i="1"/>
  <c r="O131" i="1"/>
  <c r="O135" i="1"/>
  <c r="O139" i="1"/>
  <c r="O143" i="1"/>
  <c r="O147" i="1"/>
  <c r="O151" i="1"/>
  <c r="O155" i="1"/>
  <c r="O159" i="1"/>
  <c r="O163" i="1"/>
  <c r="O167" i="1"/>
  <c r="O171" i="1"/>
  <c r="O175" i="1"/>
  <c r="O179" i="1"/>
  <c r="O183" i="1"/>
  <c r="O187" i="1"/>
  <c r="O191" i="1"/>
  <c r="O195" i="1"/>
  <c r="O199" i="1"/>
  <c r="O203" i="1"/>
  <c r="O207" i="1"/>
  <c r="O211" i="1"/>
  <c r="O215" i="1"/>
  <c r="O219" i="1"/>
  <c r="O223" i="1"/>
  <c r="O227" i="1"/>
  <c r="O231" i="1"/>
  <c r="O235" i="1"/>
  <c r="O239" i="1"/>
  <c r="O243" i="1"/>
  <c r="O247" i="1"/>
  <c r="O251" i="1"/>
  <c r="O255" i="1"/>
  <c r="O259" i="1"/>
  <c r="O263" i="1"/>
  <c r="O267" i="1"/>
  <c r="O271" i="1"/>
  <c r="O275" i="1"/>
  <c r="O279" i="1"/>
  <c r="O283" i="1"/>
  <c r="O287" i="1"/>
  <c r="O291" i="1"/>
  <c r="O295" i="1"/>
  <c r="O299" i="1"/>
  <c r="O303" i="1"/>
  <c r="O307" i="1"/>
  <c r="O311" i="1"/>
  <c r="O315" i="1"/>
  <c r="O319" i="1"/>
  <c r="O323" i="1"/>
  <c r="O327" i="1"/>
  <c r="O331" i="1"/>
  <c r="O335" i="1"/>
  <c r="O4" i="1"/>
  <c r="O8" i="1"/>
  <c r="O12" i="1"/>
  <c r="O16" i="1"/>
  <c r="O20" i="1"/>
  <c r="O24" i="1"/>
  <c r="O28" i="1"/>
  <c r="O32" i="1"/>
  <c r="O36" i="1"/>
  <c r="O40" i="1"/>
  <c r="O44" i="1"/>
  <c r="O48" i="1"/>
  <c r="O52" i="1"/>
  <c r="O56" i="1"/>
  <c r="O60" i="1"/>
  <c r="O64" i="1"/>
  <c r="O68" i="1"/>
  <c r="O72" i="1"/>
  <c r="O76" i="1"/>
  <c r="O80" i="1"/>
  <c r="O84" i="1"/>
  <c r="O88" i="1"/>
  <c r="O92" i="1"/>
  <c r="O96" i="1"/>
  <c r="O100" i="1"/>
  <c r="O104" i="1"/>
  <c r="O108" i="1"/>
  <c r="O112" i="1"/>
  <c r="O116" i="1"/>
  <c r="O120" i="1"/>
  <c r="O124" i="1"/>
  <c r="O128" i="1"/>
  <c r="O132" i="1"/>
  <c r="O136" i="1"/>
  <c r="O140" i="1"/>
  <c r="O144" i="1"/>
  <c r="O148" i="1"/>
  <c r="O152" i="1"/>
  <c r="O156" i="1"/>
  <c r="O160" i="1"/>
  <c r="O164" i="1"/>
  <c r="O168" i="1"/>
  <c r="O172" i="1"/>
  <c r="O176" i="1"/>
  <c r="O180" i="1"/>
  <c r="O184" i="1"/>
  <c r="O188" i="1"/>
  <c r="O192" i="1"/>
  <c r="O196" i="1"/>
  <c r="O200" i="1"/>
  <c r="O204" i="1"/>
  <c r="O208" i="1"/>
  <c r="O212" i="1"/>
  <c r="O216" i="1"/>
  <c r="O220" i="1"/>
  <c r="O224" i="1"/>
  <c r="O228" i="1"/>
  <c r="O232" i="1"/>
  <c r="O236" i="1"/>
  <c r="O240" i="1"/>
  <c r="O244" i="1"/>
  <c r="O248" i="1"/>
  <c r="O252" i="1"/>
  <c r="O256" i="1"/>
  <c r="O260" i="1"/>
  <c r="O264" i="1"/>
  <c r="O268" i="1"/>
  <c r="O272" i="1"/>
  <c r="O276" i="1"/>
  <c r="O280" i="1"/>
  <c r="O284" i="1"/>
  <c r="O288" i="1"/>
  <c r="O292" i="1"/>
  <c r="O296" i="1"/>
  <c r="O300" i="1"/>
  <c r="O304" i="1"/>
  <c r="O308" i="1"/>
  <c r="O312" i="1"/>
  <c r="O316" i="1"/>
  <c r="O320" i="1"/>
  <c r="O324" i="1"/>
  <c r="O328" i="1"/>
  <c r="O332" i="1"/>
  <c r="O336" i="1"/>
  <c r="O5" i="1"/>
  <c r="O9" i="1"/>
  <c r="O13" i="1"/>
  <c r="O17" i="1"/>
  <c r="O21" i="1"/>
  <c r="O25" i="1"/>
  <c r="O29" i="1"/>
  <c r="O33" i="1"/>
  <c r="O37" i="1"/>
  <c r="O41" i="1"/>
  <c r="O45" i="1"/>
  <c r="O49" i="1"/>
  <c r="O53" i="1"/>
  <c r="O57" i="1"/>
  <c r="O61" i="1"/>
  <c r="O65" i="1"/>
  <c r="O69" i="1"/>
  <c r="O73" i="1"/>
  <c r="O77" i="1"/>
  <c r="O81" i="1"/>
  <c r="O85" i="1"/>
  <c r="O89" i="1"/>
  <c r="O93" i="1"/>
  <c r="O97" i="1"/>
  <c r="O101" i="1"/>
  <c r="O105" i="1"/>
  <c r="O109" i="1"/>
  <c r="O113" i="1"/>
  <c r="O117" i="1"/>
  <c r="O121" i="1"/>
  <c r="O125" i="1"/>
  <c r="O129" i="1"/>
  <c r="O133" i="1"/>
  <c r="O137" i="1"/>
  <c r="O141" i="1"/>
  <c r="O145" i="1"/>
  <c r="O149" i="1"/>
  <c r="O153" i="1"/>
  <c r="O157" i="1"/>
  <c r="O161" i="1"/>
  <c r="O165" i="1"/>
  <c r="O169" i="1"/>
  <c r="O173" i="1"/>
  <c r="O177" i="1"/>
  <c r="O181" i="1"/>
  <c r="O185" i="1"/>
  <c r="O189" i="1"/>
  <c r="O193" i="1"/>
  <c r="O197" i="1"/>
  <c r="O201" i="1"/>
  <c r="O205" i="1"/>
  <c r="O209" i="1"/>
  <c r="O213" i="1"/>
  <c r="O217" i="1"/>
  <c r="O221" i="1"/>
  <c r="O225" i="1"/>
  <c r="O229" i="1"/>
  <c r="O233" i="1"/>
  <c r="O237" i="1"/>
  <c r="O241" i="1"/>
  <c r="O245" i="1"/>
  <c r="O249" i="1"/>
  <c r="O253" i="1"/>
  <c r="O257" i="1"/>
  <c r="O261" i="1"/>
  <c r="O265" i="1"/>
  <c r="O269" i="1"/>
  <c r="O273" i="1"/>
  <c r="O277" i="1"/>
  <c r="O281" i="1"/>
  <c r="O285" i="1"/>
  <c r="O289" i="1"/>
  <c r="O293" i="1"/>
  <c r="O297" i="1"/>
  <c r="O301" i="1"/>
  <c r="O305" i="1"/>
  <c r="O309" i="1"/>
  <c r="O313" i="1"/>
  <c r="O317" i="1"/>
  <c r="O321" i="1"/>
  <c r="O325" i="1"/>
  <c r="O329" i="1"/>
  <c r="O333" i="1"/>
  <c r="O337" i="1"/>
  <c r="O341" i="1"/>
  <c r="O6" i="1"/>
  <c r="O22" i="1"/>
  <c r="O38" i="1"/>
  <c r="O54" i="1"/>
  <c r="O70" i="1"/>
  <c r="O86" i="1"/>
  <c r="O102" i="1"/>
  <c r="O118" i="1"/>
  <c r="O134" i="1"/>
  <c r="O150" i="1"/>
  <c r="O166" i="1"/>
  <c r="O182" i="1"/>
  <c r="O198" i="1"/>
  <c r="O214" i="1"/>
  <c r="O230" i="1"/>
  <c r="O246" i="1"/>
  <c r="O262" i="1"/>
  <c r="O278" i="1"/>
  <c r="O294" i="1"/>
  <c r="O310" i="1"/>
  <c r="O326" i="1"/>
  <c r="O339" i="1"/>
  <c r="O344" i="1"/>
  <c r="O348" i="1"/>
  <c r="O352" i="1"/>
  <c r="O356" i="1"/>
  <c r="O360" i="1"/>
  <c r="O364" i="1"/>
  <c r="O368" i="1"/>
  <c r="O372" i="1"/>
  <c r="O376" i="1"/>
  <c r="O380" i="1"/>
  <c r="O384" i="1"/>
  <c r="O388" i="1"/>
  <c r="O392" i="1"/>
  <c r="O396" i="1"/>
  <c r="O400" i="1"/>
  <c r="O404" i="1"/>
  <c r="O408" i="1"/>
  <c r="O412" i="1"/>
  <c r="O416" i="1"/>
  <c r="O420" i="1"/>
  <c r="O424" i="1"/>
  <c r="O428" i="1"/>
  <c r="O432" i="1"/>
  <c r="O436" i="1"/>
  <c r="O440" i="1"/>
  <c r="O444" i="1"/>
  <c r="O448" i="1"/>
  <c r="O452" i="1"/>
  <c r="O456" i="1"/>
  <c r="O460" i="1"/>
  <c r="O464" i="1"/>
  <c r="O468" i="1"/>
  <c r="O472" i="1"/>
  <c r="O476" i="1"/>
  <c r="O480" i="1"/>
  <c r="O484" i="1"/>
  <c r="O488" i="1"/>
  <c r="O492" i="1"/>
  <c r="O496" i="1"/>
  <c r="O500" i="1"/>
  <c r="O504" i="1"/>
  <c r="O508" i="1"/>
  <c r="O512" i="1"/>
  <c r="O516" i="1"/>
  <c r="O520" i="1"/>
  <c r="O524" i="1"/>
  <c r="O528" i="1"/>
  <c r="O532" i="1"/>
  <c r="O536" i="1"/>
  <c r="O540" i="1"/>
  <c r="O544" i="1"/>
  <c r="O548" i="1"/>
  <c r="O552" i="1"/>
  <c r="O556" i="1"/>
  <c r="O560" i="1"/>
  <c r="O564" i="1"/>
  <c r="O568" i="1"/>
  <c r="O572" i="1"/>
  <c r="O576" i="1"/>
  <c r="O580" i="1"/>
  <c r="O584" i="1"/>
  <c r="O588" i="1"/>
  <c r="O592" i="1"/>
  <c r="O10" i="1"/>
  <c r="O26" i="1"/>
  <c r="O42" i="1"/>
  <c r="O58" i="1"/>
  <c r="O74" i="1"/>
  <c r="O90" i="1"/>
  <c r="O106" i="1"/>
  <c r="O122" i="1"/>
  <c r="O138" i="1"/>
  <c r="O154" i="1"/>
  <c r="O170" i="1"/>
  <c r="O186" i="1"/>
  <c r="O202" i="1"/>
  <c r="O218" i="1"/>
  <c r="O234" i="1"/>
  <c r="O250" i="1"/>
  <c r="O266" i="1"/>
  <c r="O282" i="1"/>
  <c r="O298" i="1"/>
  <c r="O314" i="1"/>
  <c r="O330" i="1"/>
  <c r="O340" i="1"/>
  <c r="O345" i="1"/>
  <c r="O349" i="1"/>
  <c r="O353" i="1"/>
  <c r="O357" i="1"/>
  <c r="O361" i="1"/>
  <c r="O365" i="1"/>
  <c r="O369" i="1"/>
  <c r="O373" i="1"/>
  <c r="O377" i="1"/>
  <c r="O381" i="1"/>
  <c r="O385" i="1"/>
  <c r="O389" i="1"/>
  <c r="O393" i="1"/>
  <c r="O397" i="1"/>
  <c r="O401" i="1"/>
  <c r="O405" i="1"/>
  <c r="O409" i="1"/>
  <c r="O413" i="1"/>
  <c r="O417" i="1"/>
  <c r="O421" i="1"/>
  <c r="O425" i="1"/>
  <c r="O429" i="1"/>
  <c r="O433" i="1"/>
  <c r="O437" i="1"/>
  <c r="O441" i="1"/>
  <c r="O445" i="1"/>
  <c r="O449" i="1"/>
  <c r="O453" i="1"/>
  <c r="O457" i="1"/>
  <c r="O461" i="1"/>
  <c r="O465" i="1"/>
  <c r="O469" i="1"/>
  <c r="O473" i="1"/>
  <c r="O477" i="1"/>
  <c r="O481" i="1"/>
  <c r="O485" i="1"/>
  <c r="O489" i="1"/>
  <c r="O493" i="1"/>
  <c r="O497" i="1"/>
  <c r="O501" i="1"/>
  <c r="O505" i="1"/>
  <c r="O509" i="1"/>
  <c r="O513" i="1"/>
  <c r="O517" i="1"/>
  <c r="O521" i="1"/>
  <c r="O525" i="1"/>
  <c r="O529" i="1"/>
  <c r="O533" i="1"/>
  <c r="O537" i="1"/>
  <c r="O541" i="1"/>
  <c r="O545" i="1"/>
  <c r="O549" i="1"/>
  <c r="O553" i="1"/>
  <c r="O557" i="1"/>
  <c r="O561" i="1"/>
  <c r="O565" i="1"/>
  <c r="O569" i="1"/>
  <c r="O573" i="1"/>
  <c r="O577" i="1"/>
  <c r="O581" i="1"/>
  <c r="O585" i="1"/>
  <c r="O589" i="1"/>
  <c r="O593" i="1"/>
  <c r="O14" i="1"/>
  <c r="O30" i="1"/>
  <c r="O46" i="1"/>
  <c r="O62" i="1"/>
  <c r="O78" i="1"/>
  <c r="O94" i="1"/>
  <c r="O110" i="1"/>
  <c r="O126" i="1"/>
  <c r="O142" i="1"/>
  <c r="O158" i="1"/>
  <c r="O174" i="1"/>
  <c r="O190" i="1"/>
  <c r="O206" i="1"/>
  <c r="O222" i="1"/>
  <c r="O238" i="1"/>
  <c r="O254" i="1"/>
  <c r="O270" i="1"/>
  <c r="O286" i="1"/>
  <c r="O302" i="1"/>
  <c r="O318" i="1"/>
  <c r="O334" i="1"/>
  <c r="O342" i="1"/>
  <c r="O346" i="1"/>
  <c r="O350" i="1"/>
  <c r="O354" i="1"/>
  <c r="O358" i="1"/>
  <c r="O362" i="1"/>
  <c r="O366" i="1"/>
  <c r="O370" i="1"/>
  <c r="O374" i="1"/>
  <c r="O378" i="1"/>
  <c r="O382" i="1"/>
  <c r="O386" i="1"/>
  <c r="O390" i="1"/>
  <c r="O394" i="1"/>
  <c r="O398" i="1"/>
  <c r="O402" i="1"/>
  <c r="O406" i="1"/>
  <c r="O410" i="1"/>
  <c r="O414" i="1"/>
  <c r="O418" i="1"/>
  <c r="O422" i="1"/>
  <c r="O426" i="1"/>
  <c r="O430" i="1"/>
  <c r="O434" i="1"/>
  <c r="O438" i="1"/>
  <c r="O442" i="1"/>
  <c r="O446" i="1"/>
  <c r="O450" i="1"/>
  <c r="O454" i="1"/>
  <c r="O458" i="1"/>
  <c r="O462" i="1"/>
  <c r="O466" i="1"/>
  <c r="O470" i="1"/>
  <c r="O474" i="1"/>
  <c r="O478" i="1"/>
  <c r="O482" i="1"/>
  <c r="O486" i="1"/>
  <c r="O490" i="1"/>
  <c r="O494" i="1"/>
  <c r="O498" i="1"/>
  <c r="O502" i="1"/>
  <c r="O506" i="1"/>
  <c r="O510" i="1"/>
  <c r="O514" i="1"/>
  <c r="O518" i="1"/>
  <c r="O522" i="1"/>
  <c r="O526" i="1"/>
  <c r="O530" i="1"/>
  <c r="O534" i="1"/>
  <c r="O538" i="1"/>
  <c r="O542" i="1"/>
  <c r="O546" i="1"/>
  <c r="O550" i="1"/>
  <c r="O554" i="1"/>
  <c r="O558" i="1"/>
  <c r="O562" i="1"/>
  <c r="O566" i="1"/>
  <c r="O570" i="1"/>
  <c r="O18" i="1"/>
  <c r="O82" i="1"/>
  <c r="O146" i="1"/>
  <c r="O210" i="1"/>
  <c r="O274" i="1"/>
  <c r="O338" i="1"/>
  <c r="O355" i="1"/>
  <c r="O371" i="1"/>
  <c r="O387" i="1"/>
  <c r="O403" i="1"/>
  <c r="O419" i="1"/>
  <c r="O435" i="1"/>
  <c r="O451" i="1"/>
  <c r="O467" i="1"/>
  <c r="O483" i="1"/>
  <c r="O499" i="1"/>
  <c r="O515" i="1"/>
  <c r="O531" i="1"/>
  <c r="O547" i="1"/>
  <c r="O563" i="1"/>
  <c r="O575" i="1"/>
  <c r="O583" i="1"/>
  <c r="O591" i="1"/>
  <c r="O597" i="1"/>
  <c r="O601" i="1"/>
  <c r="O605" i="1"/>
  <c r="O609" i="1"/>
  <c r="O613" i="1"/>
  <c r="O617" i="1"/>
  <c r="O621" i="1"/>
  <c r="O625" i="1"/>
  <c r="O629" i="1"/>
  <c r="O633" i="1"/>
  <c r="O637" i="1"/>
  <c r="O641" i="1"/>
  <c r="O645" i="1"/>
  <c r="O649" i="1"/>
  <c r="O653" i="1"/>
  <c r="O657" i="1"/>
  <c r="O661" i="1"/>
  <c r="O665" i="1"/>
  <c r="O669" i="1"/>
  <c r="O673" i="1"/>
  <c r="O677" i="1"/>
  <c r="O681" i="1"/>
  <c r="O685" i="1"/>
  <c r="O689" i="1"/>
  <c r="O693" i="1"/>
  <c r="O697" i="1"/>
  <c r="O701" i="1"/>
  <c r="O705" i="1"/>
  <c r="O709" i="1"/>
  <c r="O713" i="1"/>
  <c r="O717" i="1"/>
  <c r="O721" i="1"/>
  <c r="O725" i="1"/>
  <c r="O729" i="1"/>
  <c r="O733" i="1"/>
  <c r="O737" i="1"/>
  <c r="O741" i="1"/>
  <c r="O745" i="1"/>
  <c r="O749" i="1"/>
  <c r="O753" i="1"/>
  <c r="O757" i="1"/>
  <c r="O761" i="1"/>
  <c r="O765" i="1"/>
  <c r="O769" i="1"/>
  <c r="O773" i="1"/>
  <c r="O777" i="1"/>
  <c r="O781" i="1"/>
  <c r="O785" i="1"/>
  <c r="O789" i="1"/>
  <c r="O793" i="1"/>
  <c r="O797" i="1"/>
  <c r="O801" i="1"/>
  <c r="O805" i="1"/>
  <c r="O809" i="1"/>
  <c r="O813" i="1"/>
  <c r="O817" i="1"/>
  <c r="O821" i="1"/>
  <c r="O825" i="1"/>
  <c r="O829" i="1"/>
  <c r="O833" i="1"/>
  <c r="O837" i="1"/>
  <c r="O841" i="1"/>
  <c r="O845" i="1"/>
  <c r="O849" i="1"/>
  <c r="O853" i="1"/>
  <c r="O857" i="1"/>
  <c r="O861" i="1"/>
  <c r="O865" i="1"/>
  <c r="O869" i="1"/>
  <c r="O34" i="1"/>
  <c r="O98" i="1"/>
  <c r="O162" i="1"/>
  <c r="O226" i="1"/>
  <c r="O290" i="1"/>
  <c r="O343" i="1"/>
  <c r="O359" i="1"/>
  <c r="O375" i="1"/>
  <c r="O391" i="1"/>
  <c r="O407" i="1"/>
  <c r="O423" i="1"/>
  <c r="O439" i="1"/>
  <c r="O455" i="1"/>
  <c r="O471" i="1"/>
  <c r="O487" i="1"/>
  <c r="O503" i="1"/>
  <c r="O519" i="1"/>
  <c r="O535" i="1"/>
  <c r="O551" i="1"/>
  <c r="O567" i="1"/>
  <c r="O578" i="1"/>
  <c r="O586" i="1"/>
  <c r="O594" i="1"/>
  <c r="O598" i="1"/>
  <c r="O602" i="1"/>
  <c r="O606" i="1"/>
  <c r="O610" i="1"/>
  <c r="O614" i="1"/>
  <c r="O618" i="1"/>
  <c r="O622" i="1"/>
  <c r="O626" i="1"/>
  <c r="O630" i="1"/>
  <c r="O634" i="1"/>
  <c r="O638" i="1"/>
  <c r="O642" i="1"/>
  <c r="O646" i="1"/>
  <c r="O650" i="1"/>
  <c r="O654" i="1"/>
  <c r="O658" i="1"/>
  <c r="O662" i="1"/>
  <c r="O666" i="1"/>
  <c r="O670" i="1"/>
  <c r="O674" i="1"/>
  <c r="O678" i="1"/>
  <c r="O682" i="1"/>
  <c r="O686" i="1"/>
  <c r="O690" i="1"/>
  <c r="O694" i="1"/>
  <c r="O698" i="1"/>
  <c r="O702" i="1"/>
  <c r="O706" i="1"/>
  <c r="O710" i="1"/>
  <c r="O714" i="1"/>
  <c r="O718" i="1"/>
  <c r="O722" i="1"/>
  <c r="O726" i="1"/>
  <c r="O730" i="1"/>
  <c r="O734" i="1"/>
  <c r="O738" i="1"/>
  <c r="O742" i="1"/>
  <c r="O746" i="1"/>
  <c r="O750" i="1"/>
  <c r="O754" i="1"/>
  <c r="O758" i="1"/>
  <c r="O762" i="1"/>
  <c r="O766" i="1"/>
  <c r="O770" i="1"/>
  <c r="O774" i="1"/>
  <c r="O778" i="1"/>
  <c r="O782" i="1"/>
  <c r="O786" i="1"/>
  <c r="O790" i="1"/>
  <c r="O794" i="1"/>
  <c r="O798" i="1"/>
  <c r="O802" i="1"/>
  <c r="O806" i="1"/>
  <c r="O810" i="1"/>
  <c r="O814" i="1"/>
  <c r="O818" i="1"/>
  <c r="O822" i="1"/>
  <c r="O826" i="1"/>
  <c r="O830" i="1"/>
  <c r="O834" i="1"/>
  <c r="O838" i="1"/>
  <c r="O842" i="1"/>
  <c r="O50" i="1"/>
  <c r="O114" i="1"/>
  <c r="O178" i="1"/>
  <c r="O242" i="1"/>
  <c r="O306" i="1"/>
  <c r="O347" i="1"/>
  <c r="O363" i="1"/>
  <c r="O379" i="1"/>
  <c r="O395" i="1"/>
  <c r="O411" i="1"/>
  <c r="O427" i="1"/>
  <c r="O443" i="1"/>
  <c r="O459" i="1"/>
  <c r="O475" i="1"/>
  <c r="O491" i="1"/>
  <c r="O507" i="1"/>
  <c r="O523" i="1"/>
  <c r="O539" i="1"/>
  <c r="O555" i="1"/>
  <c r="O571" i="1"/>
  <c r="O579" i="1"/>
  <c r="O587" i="1"/>
  <c r="O595" i="1"/>
  <c r="O599" i="1"/>
  <c r="O603" i="1"/>
  <c r="O607" i="1"/>
  <c r="O611" i="1"/>
  <c r="O615" i="1"/>
  <c r="O619" i="1"/>
  <c r="O623" i="1"/>
  <c r="O627" i="1"/>
  <c r="O631" i="1"/>
  <c r="O635" i="1"/>
  <c r="O639" i="1"/>
  <c r="O643" i="1"/>
  <c r="O647" i="1"/>
  <c r="O651" i="1"/>
  <c r="O655" i="1"/>
  <c r="O659" i="1"/>
  <c r="O663" i="1"/>
  <c r="O667" i="1"/>
  <c r="O671" i="1"/>
  <c r="O675" i="1"/>
  <c r="O679" i="1"/>
  <c r="O683" i="1"/>
  <c r="O687" i="1"/>
  <c r="O691" i="1"/>
  <c r="O695" i="1"/>
  <c r="O699" i="1"/>
  <c r="O703" i="1"/>
  <c r="O707" i="1"/>
  <c r="O711" i="1"/>
  <c r="O715" i="1"/>
  <c r="O719" i="1"/>
  <c r="O723" i="1"/>
  <c r="O727" i="1"/>
  <c r="O731" i="1"/>
  <c r="O735" i="1"/>
  <c r="O739" i="1"/>
  <c r="O743" i="1"/>
  <c r="O747" i="1"/>
  <c r="O751" i="1"/>
  <c r="O755" i="1"/>
  <c r="O759" i="1"/>
  <c r="O763" i="1"/>
  <c r="O767" i="1"/>
  <c r="O771" i="1"/>
  <c r="O775" i="1"/>
  <c r="O779" i="1"/>
  <c r="O783" i="1"/>
  <c r="O787" i="1"/>
  <c r="O791" i="1"/>
  <c r="O795" i="1"/>
  <c r="O799" i="1"/>
  <c r="O803" i="1"/>
  <c r="O807" i="1"/>
  <c r="O811" i="1"/>
  <c r="O815" i="1"/>
  <c r="O819" i="1"/>
  <c r="O823" i="1"/>
  <c r="O827" i="1"/>
  <c r="O831" i="1"/>
  <c r="O835" i="1"/>
  <c r="O839" i="1"/>
  <c r="O843" i="1"/>
  <c r="O847" i="1"/>
  <c r="O851" i="1"/>
  <c r="O855" i="1"/>
  <c r="O859" i="1"/>
  <c r="O863" i="1"/>
  <c r="O867" i="1"/>
  <c r="O871" i="1"/>
  <c r="O875" i="1"/>
  <c r="O879" i="1"/>
  <c r="O883" i="1"/>
  <c r="O887" i="1"/>
  <c r="O891" i="1"/>
  <c r="O895" i="1"/>
  <c r="O970" i="1"/>
  <c r="O966" i="1"/>
  <c r="O962" i="1"/>
  <c r="O958" i="1"/>
  <c r="O954" i="1"/>
  <c r="O950" i="1"/>
  <c r="O946" i="1"/>
  <c r="O942" i="1"/>
  <c r="O938" i="1"/>
  <c r="O934" i="1"/>
  <c r="O930" i="1"/>
  <c r="O926" i="1"/>
  <c r="O922" i="1"/>
  <c r="O918" i="1"/>
  <c r="O914" i="1"/>
  <c r="O910" i="1"/>
  <c r="O906" i="1"/>
  <c r="O902" i="1"/>
  <c r="O898" i="1"/>
  <c r="O893" i="1"/>
  <c r="O888" i="1"/>
  <c r="O882" i="1"/>
  <c r="O877" i="1"/>
  <c r="O872" i="1"/>
  <c r="O864" i="1"/>
  <c r="O856" i="1"/>
  <c r="O848" i="1"/>
  <c r="O836" i="1"/>
  <c r="O820" i="1"/>
  <c r="O804" i="1"/>
  <c r="O788" i="1"/>
  <c r="O772" i="1"/>
  <c r="O756" i="1"/>
  <c r="O740" i="1"/>
  <c r="O724" i="1"/>
  <c r="O708" i="1"/>
  <c r="O692" i="1"/>
  <c r="O676" i="1"/>
  <c r="O660" i="1"/>
  <c r="O644" i="1"/>
  <c r="O628" i="1"/>
  <c r="O612" i="1"/>
  <c r="O596" i="1"/>
  <c r="O559" i="1"/>
  <c r="O495" i="1"/>
  <c r="O431" i="1"/>
  <c r="O367" i="1"/>
  <c r="O194" i="1"/>
  <c r="O963" i="1"/>
  <c r="O947" i="1"/>
  <c r="O939" i="1"/>
  <c r="O923" i="1"/>
  <c r="O915" i="1"/>
  <c r="O903" i="1"/>
  <c r="O889" i="1"/>
  <c r="O873" i="1"/>
  <c r="O850" i="1"/>
  <c r="O808" i="1"/>
  <c r="O760" i="1"/>
  <c r="O696" i="1"/>
  <c r="O664" i="1"/>
  <c r="O616" i="1"/>
  <c r="O511" i="1"/>
  <c r="O969" i="1"/>
  <c r="O965" i="1"/>
  <c r="O961" i="1"/>
  <c r="O957" i="1"/>
  <c r="O953" i="1"/>
  <c r="O949" i="1"/>
  <c r="O945" i="1"/>
  <c r="O941" i="1"/>
  <c r="O937" i="1"/>
  <c r="O933" i="1"/>
  <c r="O929" i="1"/>
  <c r="O925" i="1"/>
  <c r="O921" i="1"/>
  <c r="O917" i="1"/>
  <c r="O913" i="1"/>
  <c r="O909" i="1"/>
  <c r="O905" i="1"/>
  <c r="O901" i="1"/>
  <c r="O897" i="1"/>
  <c r="O892" i="1"/>
  <c r="O886" i="1"/>
  <c r="O881" i="1"/>
  <c r="O876" i="1"/>
  <c r="O870" i="1"/>
  <c r="O862" i="1"/>
  <c r="O854" i="1"/>
  <c r="O846" i="1"/>
  <c r="O832" i="1"/>
  <c r="O816" i="1"/>
  <c r="O800" i="1"/>
  <c r="O784" i="1"/>
  <c r="O768" i="1"/>
  <c r="O752" i="1"/>
  <c r="O736" i="1"/>
  <c r="O720" i="1"/>
  <c r="O704" i="1"/>
  <c r="O688" i="1"/>
  <c r="O672" i="1"/>
  <c r="O656" i="1"/>
  <c r="O640" i="1"/>
  <c r="O624" i="1"/>
  <c r="O608" i="1"/>
  <c r="O590" i="1"/>
  <c r="O543" i="1"/>
  <c r="O479" i="1"/>
  <c r="O415" i="1"/>
  <c r="O351" i="1"/>
  <c r="O130" i="1"/>
  <c r="O967" i="1"/>
  <c r="O955" i="1"/>
  <c r="O943" i="1"/>
  <c r="O931" i="1"/>
  <c r="O919" i="1"/>
  <c r="O907" i="1"/>
  <c r="O894" i="1"/>
  <c r="O878" i="1"/>
  <c r="O858" i="1"/>
  <c r="O824" i="1"/>
  <c r="O776" i="1"/>
  <c r="O728" i="1"/>
  <c r="O680" i="1"/>
  <c r="O972" i="1"/>
  <c r="O968" i="1"/>
  <c r="O964" i="1"/>
  <c r="O960" i="1"/>
  <c r="O956" i="1"/>
  <c r="O952" i="1"/>
  <c r="O948" i="1"/>
  <c r="O944" i="1"/>
  <c r="O940" i="1"/>
  <c r="O936" i="1"/>
  <c r="O932" i="1"/>
  <c r="O928" i="1"/>
  <c r="O924" i="1"/>
  <c r="O920" i="1"/>
  <c r="O916" i="1"/>
  <c r="O912" i="1"/>
  <c r="O908" i="1"/>
  <c r="O904" i="1"/>
  <c r="O900" i="1"/>
  <c r="O896" i="1"/>
  <c r="O890" i="1"/>
  <c r="O885" i="1"/>
  <c r="O880" i="1"/>
  <c r="O874" i="1"/>
  <c r="O868" i="1"/>
  <c r="O860" i="1"/>
  <c r="O852" i="1"/>
  <c r="O844" i="1"/>
  <c r="O828" i="1"/>
  <c r="O812" i="1"/>
  <c r="O796" i="1"/>
  <c r="O780" i="1"/>
  <c r="O764" i="1"/>
  <c r="O748" i="1"/>
  <c r="O732" i="1"/>
  <c r="O716" i="1"/>
  <c r="O700" i="1"/>
  <c r="O684" i="1"/>
  <c r="O668" i="1"/>
  <c r="O652" i="1"/>
  <c r="O636" i="1"/>
  <c r="O620" i="1"/>
  <c r="O604" i="1"/>
  <c r="O582" i="1"/>
  <c r="O527" i="1"/>
  <c r="O463" i="1"/>
  <c r="O399" i="1"/>
  <c r="O322" i="1"/>
  <c r="O66" i="1"/>
  <c r="N194" i="1"/>
  <c r="O2" i="1"/>
  <c r="N970" i="1"/>
  <c r="N966" i="1"/>
  <c r="N962" i="1"/>
  <c r="N958" i="1"/>
  <c r="N954" i="1"/>
  <c r="N950" i="1"/>
  <c r="N946" i="1"/>
  <c r="N942" i="1"/>
  <c r="N938" i="1"/>
  <c r="N934" i="1"/>
  <c r="N930" i="1"/>
  <c r="N926" i="1"/>
  <c r="N922" i="1"/>
  <c r="N918" i="1"/>
  <c r="N914" i="1"/>
  <c r="N910" i="1"/>
  <c r="N906" i="1"/>
  <c r="N902" i="1"/>
  <c r="N898" i="1"/>
  <c r="N894" i="1"/>
  <c r="N890" i="1"/>
  <c r="N886" i="1"/>
  <c r="N882" i="1"/>
  <c r="N878" i="1"/>
  <c r="N874" i="1"/>
  <c r="N870" i="1"/>
  <c r="N866" i="1"/>
  <c r="N862" i="1"/>
  <c r="N858" i="1"/>
  <c r="N854" i="1"/>
  <c r="N850" i="1"/>
  <c r="N845" i="1"/>
  <c r="N840" i="1"/>
  <c r="N835" i="1"/>
  <c r="N828" i="1"/>
  <c r="N813" i="1"/>
  <c r="N797" i="1"/>
  <c r="N781" i="1"/>
  <c r="N765" i="1"/>
  <c r="N749" i="1"/>
  <c r="N733" i="1"/>
  <c r="N717" i="1"/>
  <c r="N701" i="1"/>
  <c r="N685" i="1"/>
  <c r="N669" i="1"/>
  <c r="N653" i="1"/>
  <c r="N637" i="1"/>
  <c r="N621" i="1"/>
  <c r="N605" i="1"/>
  <c r="N575" i="1"/>
  <c r="N511" i="1"/>
  <c r="N447" i="1"/>
  <c r="N383" i="1"/>
  <c r="N258" i="1"/>
  <c r="N969" i="1"/>
  <c r="N965" i="1"/>
  <c r="N961" i="1"/>
  <c r="N957" i="1"/>
  <c r="N953" i="1"/>
  <c r="N949" i="1"/>
  <c r="N945" i="1"/>
  <c r="N941" i="1"/>
  <c r="N937" i="1"/>
  <c r="N933" i="1"/>
  <c r="N929" i="1"/>
  <c r="N925" i="1"/>
  <c r="N921" i="1"/>
  <c r="N917" i="1"/>
  <c r="N913" i="1"/>
  <c r="N909" i="1"/>
  <c r="N905" i="1"/>
  <c r="N901" i="1"/>
  <c r="N897" i="1"/>
  <c r="N893" i="1"/>
  <c r="N889" i="1"/>
  <c r="N885" i="1"/>
  <c r="N881" i="1"/>
  <c r="N877" i="1"/>
  <c r="N873" i="1"/>
  <c r="N869" i="1"/>
  <c r="N865" i="1"/>
  <c r="N861" i="1"/>
  <c r="N857" i="1"/>
  <c r="N853" i="1"/>
  <c r="N849" i="1"/>
  <c r="N844" i="1"/>
  <c r="N839" i="1"/>
  <c r="N833" i="1"/>
  <c r="N825" i="1"/>
  <c r="N809" i="1"/>
  <c r="N793" i="1"/>
  <c r="N777" i="1"/>
  <c r="N761" i="1"/>
  <c r="N745" i="1"/>
  <c r="N729" i="1"/>
  <c r="N713" i="1"/>
  <c r="N697" i="1"/>
  <c r="N681" i="1"/>
  <c r="N665" i="1"/>
  <c r="N649" i="1"/>
  <c r="N633" i="1"/>
  <c r="N617" i="1"/>
  <c r="N601" i="1"/>
  <c r="N559" i="1"/>
  <c r="N495" i="1"/>
  <c r="N431" i="1"/>
  <c r="N367" i="1"/>
  <c r="N3" i="1"/>
  <c r="N7" i="1"/>
  <c r="N11" i="1"/>
  <c r="N15" i="1"/>
  <c r="N19" i="1"/>
  <c r="N23" i="1"/>
  <c r="N27" i="1"/>
  <c r="N31" i="1"/>
  <c r="N35" i="1"/>
  <c r="N39" i="1"/>
  <c r="N43" i="1"/>
  <c r="N47" i="1"/>
  <c r="N51" i="1"/>
  <c r="N55" i="1"/>
  <c r="N59" i="1"/>
  <c r="N63" i="1"/>
  <c r="N67" i="1"/>
  <c r="N71" i="1"/>
  <c r="N75" i="1"/>
  <c r="N79" i="1"/>
  <c r="N83" i="1"/>
  <c r="N87" i="1"/>
  <c r="N91" i="1"/>
  <c r="N95" i="1"/>
  <c r="N99" i="1"/>
  <c r="N103" i="1"/>
  <c r="N107" i="1"/>
  <c r="N111" i="1"/>
  <c r="N115" i="1"/>
  <c r="N119" i="1"/>
  <c r="N123" i="1"/>
  <c r="N127" i="1"/>
  <c r="N131" i="1"/>
  <c r="N135" i="1"/>
  <c r="N139" i="1"/>
  <c r="N143" i="1"/>
  <c r="N147" i="1"/>
  <c r="N151" i="1"/>
  <c r="N155" i="1"/>
  <c r="N159" i="1"/>
  <c r="N163" i="1"/>
  <c r="N167" i="1"/>
  <c r="N171" i="1"/>
  <c r="N175" i="1"/>
  <c r="N179" i="1"/>
  <c r="N183" i="1"/>
  <c r="N187" i="1"/>
  <c r="N191" i="1"/>
  <c r="N195" i="1"/>
  <c r="N199" i="1"/>
  <c r="N203" i="1"/>
  <c r="N207" i="1"/>
  <c r="N211" i="1"/>
  <c r="N215" i="1"/>
  <c r="N219" i="1"/>
  <c r="N223" i="1"/>
  <c r="N227" i="1"/>
  <c r="N231" i="1"/>
  <c r="N235" i="1"/>
  <c r="N239" i="1"/>
  <c r="N243" i="1"/>
  <c r="N247" i="1"/>
  <c r="N251" i="1"/>
  <c r="N255" i="1"/>
  <c r="N259" i="1"/>
  <c r="N263" i="1"/>
  <c r="N267" i="1"/>
  <c r="N271" i="1"/>
  <c r="N275" i="1"/>
  <c r="N279" i="1"/>
  <c r="N283" i="1"/>
  <c r="N287" i="1"/>
  <c r="N291" i="1"/>
  <c r="N295" i="1"/>
  <c r="N299" i="1"/>
  <c r="N303" i="1"/>
  <c r="N307" i="1"/>
  <c r="N311" i="1"/>
  <c r="N315" i="1"/>
  <c r="N319" i="1"/>
  <c r="N323" i="1"/>
  <c r="N327" i="1"/>
  <c r="N331" i="1"/>
  <c r="N335" i="1"/>
  <c r="N4" i="1"/>
  <c r="N8" i="1"/>
  <c r="N12" i="1"/>
  <c r="N16" i="1"/>
  <c r="N20" i="1"/>
  <c r="N24" i="1"/>
  <c r="N28" i="1"/>
  <c r="N32" i="1"/>
  <c r="N36" i="1"/>
  <c r="N40" i="1"/>
  <c r="N44" i="1"/>
  <c r="N48" i="1"/>
  <c r="N52" i="1"/>
  <c r="N56" i="1"/>
  <c r="N60" i="1"/>
  <c r="N64" i="1"/>
  <c r="N68" i="1"/>
  <c r="N72" i="1"/>
  <c r="N76" i="1"/>
  <c r="N80" i="1"/>
  <c r="N84" i="1"/>
  <c r="N88" i="1"/>
  <c r="N92" i="1"/>
  <c r="N96" i="1"/>
  <c r="N100" i="1"/>
  <c r="N104" i="1"/>
  <c r="N108" i="1"/>
  <c r="N112" i="1"/>
  <c r="N116" i="1"/>
  <c r="N120" i="1"/>
  <c r="N124" i="1"/>
  <c r="N128" i="1"/>
  <c r="N132" i="1"/>
  <c r="N136" i="1"/>
  <c r="N140" i="1"/>
  <c r="N144" i="1"/>
  <c r="N148" i="1"/>
  <c r="N152" i="1"/>
  <c r="N156" i="1"/>
  <c r="N160" i="1"/>
  <c r="N164" i="1"/>
  <c r="N168" i="1"/>
  <c r="N172" i="1"/>
  <c r="N176" i="1"/>
  <c r="N180" i="1"/>
  <c r="N184" i="1"/>
  <c r="N188" i="1"/>
  <c r="N192" i="1"/>
  <c r="N196" i="1"/>
  <c r="N200" i="1"/>
  <c r="N204" i="1"/>
  <c r="N208" i="1"/>
  <c r="N212" i="1"/>
  <c r="N216" i="1"/>
  <c r="N220" i="1"/>
  <c r="N224" i="1"/>
  <c r="N228" i="1"/>
  <c r="N232" i="1"/>
  <c r="N236" i="1"/>
  <c r="N240" i="1"/>
  <c r="N244" i="1"/>
  <c r="N248" i="1"/>
  <c r="N252" i="1"/>
  <c r="N256" i="1"/>
  <c r="N260" i="1"/>
  <c r="N264" i="1"/>
  <c r="N268" i="1"/>
  <c r="N272" i="1"/>
  <c r="N276" i="1"/>
  <c r="N280" i="1"/>
  <c r="N284" i="1"/>
  <c r="N288" i="1"/>
  <c r="N292" i="1"/>
  <c r="N296" i="1"/>
  <c r="N300" i="1"/>
  <c r="N304" i="1"/>
  <c r="N308" i="1"/>
  <c r="N312" i="1"/>
  <c r="N316" i="1"/>
  <c r="N320" i="1"/>
  <c r="N324" i="1"/>
  <c r="N328" i="1"/>
  <c r="N332" i="1"/>
  <c r="N336" i="1"/>
  <c r="N5" i="1"/>
  <c r="N9" i="1"/>
  <c r="N13" i="1"/>
  <c r="N17" i="1"/>
  <c r="N21" i="1"/>
  <c r="N25" i="1"/>
  <c r="N29" i="1"/>
  <c r="N33" i="1"/>
  <c r="N37" i="1"/>
  <c r="N41" i="1"/>
  <c r="N45" i="1"/>
  <c r="N49" i="1"/>
  <c r="N53" i="1"/>
  <c r="N57" i="1"/>
  <c r="N61" i="1"/>
  <c r="N65" i="1"/>
  <c r="N69" i="1"/>
  <c r="N73" i="1"/>
  <c r="N77" i="1"/>
  <c r="N81" i="1"/>
  <c r="N85" i="1"/>
  <c r="N89" i="1"/>
  <c r="N93" i="1"/>
  <c r="N97" i="1"/>
  <c r="N101" i="1"/>
  <c r="N105" i="1"/>
  <c r="N109" i="1"/>
  <c r="N113" i="1"/>
  <c r="N117" i="1"/>
  <c r="N121" i="1"/>
  <c r="N125" i="1"/>
  <c r="N129" i="1"/>
  <c r="N133" i="1"/>
  <c r="N137" i="1"/>
  <c r="N141" i="1"/>
  <c r="N145" i="1"/>
  <c r="N149" i="1"/>
  <c r="N153" i="1"/>
  <c r="N157" i="1"/>
  <c r="N161" i="1"/>
  <c r="N165" i="1"/>
  <c r="N169" i="1"/>
  <c r="N173" i="1"/>
  <c r="N177" i="1"/>
  <c r="N181" i="1"/>
  <c r="N185" i="1"/>
  <c r="N189" i="1"/>
  <c r="N193" i="1"/>
  <c r="N197" i="1"/>
  <c r="N201" i="1"/>
  <c r="N205" i="1"/>
  <c r="N209" i="1"/>
  <c r="N213" i="1"/>
  <c r="N217" i="1"/>
  <c r="N221" i="1"/>
  <c r="N225" i="1"/>
  <c r="N229" i="1"/>
  <c r="N233" i="1"/>
  <c r="N237" i="1"/>
  <c r="N241" i="1"/>
  <c r="N245" i="1"/>
  <c r="N249" i="1"/>
  <c r="N253" i="1"/>
  <c r="N257" i="1"/>
  <c r="N261" i="1"/>
  <c r="N265" i="1"/>
  <c r="N269" i="1"/>
  <c r="N273" i="1"/>
  <c r="N277" i="1"/>
  <c r="N281" i="1"/>
  <c r="N285" i="1"/>
  <c r="N289" i="1"/>
  <c r="N293" i="1"/>
  <c r="N297" i="1"/>
  <c r="N301" i="1"/>
  <c r="N305" i="1"/>
  <c r="N309" i="1"/>
  <c r="N313" i="1"/>
  <c r="N317" i="1"/>
  <c r="N321" i="1"/>
  <c r="N325" i="1"/>
  <c r="N329" i="1"/>
  <c r="N333" i="1"/>
  <c r="N337" i="1"/>
  <c r="N341" i="1"/>
  <c r="N6" i="1"/>
  <c r="N22" i="1"/>
  <c r="N38" i="1"/>
  <c r="N54" i="1"/>
  <c r="N70" i="1"/>
  <c r="N86" i="1"/>
  <c r="N102" i="1"/>
  <c r="N118" i="1"/>
  <c r="N134" i="1"/>
  <c r="N150" i="1"/>
  <c r="N166" i="1"/>
  <c r="N182" i="1"/>
  <c r="N198" i="1"/>
  <c r="N214" i="1"/>
  <c r="N230" i="1"/>
  <c r="N246" i="1"/>
  <c r="N262" i="1"/>
  <c r="N278" i="1"/>
  <c r="N294" i="1"/>
  <c r="N310" i="1"/>
  <c r="N326" i="1"/>
  <c r="N339" i="1"/>
  <c r="N344" i="1"/>
  <c r="N348" i="1"/>
  <c r="N352" i="1"/>
  <c r="N356" i="1"/>
  <c r="N360" i="1"/>
  <c r="N364" i="1"/>
  <c r="N368" i="1"/>
  <c r="N372" i="1"/>
  <c r="N376" i="1"/>
  <c r="N380" i="1"/>
  <c r="N384" i="1"/>
  <c r="N388" i="1"/>
  <c r="N392" i="1"/>
  <c r="N396" i="1"/>
  <c r="N400" i="1"/>
  <c r="N404" i="1"/>
  <c r="N408" i="1"/>
  <c r="N412" i="1"/>
  <c r="N416" i="1"/>
  <c r="N420" i="1"/>
  <c r="N424" i="1"/>
  <c r="N428" i="1"/>
  <c r="N432" i="1"/>
  <c r="N436" i="1"/>
  <c r="N440" i="1"/>
  <c r="N444" i="1"/>
  <c r="N448" i="1"/>
  <c r="N452" i="1"/>
  <c r="N456" i="1"/>
  <c r="N460" i="1"/>
  <c r="N464" i="1"/>
  <c r="N468" i="1"/>
  <c r="N472" i="1"/>
  <c r="N476" i="1"/>
  <c r="N480" i="1"/>
  <c r="N484" i="1"/>
  <c r="N488" i="1"/>
  <c r="N492" i="1"/>
  <c r="N496" i="1"/>
  <c r="N500" i="1"/>
  <c r="N504" i="1"/>
  <c r="N508" i="1"/>
  <c r="N512" i="1"/>
  <c r="N516" i="1"/>
  <c r="N520" i="1"/>
  <c r="N524" i="1"/>
  <c r="N528" i="1"/>
  <c r="N532" i="1"/>
  <c r="N536" i="1"/>
  <c r="N540" i="1"/>
  <c r="N544" i="1"/>
  <c r="N548" i="1"/>
  <c r="N552" i="1"/>
  <c r="N556" i="1"/>
  <c r="N560" i="1"/>
  <c r="N564" i="1"/>
  <c r="N568" i="1"/>
  <c r="N572" i="1"/>
  <c r="N576" i="1"/>
  <c r="N580" i="1"/>
  <c r="N584" i="1"/>
  <c r="N588" i="1"/>
  <c r="N10" i="1"/>
  <c r="N26" i="1"/>
  <c r="N42" i="1"/>
  <c r="N58" i="1"/>
  <c r="N74" i="1"/>
  <c r="N90" i="1"/>
  <c r="N106" i="1"/>
  <c r="N122" i="1"/>
  <c r="N138" i="1"/>
  <c r="N154" i="1"/>
  <c r="N170" i="1"/>
  <c r="N186" i="1"/>
  <c r="N202" i="1"/>
  <c r="N218" i="1"/>
  <c r="N234" i="1"/>
  <c r="N250" i="1"/>
  <c r="N266" i="1"/>
  <c r="N282" i="1"/>
  <c r="N298" i="1"/>
  <c r="N314" i="1"/>
  <c r="N330" i="1"/>
  <c r="N340" i="1"/>
  <c r="N345" i="1"/>
  <c r="N349" i="1"/>
  <c r="N353" i="1"/>
  <c r="N357" i="1"/>
  <c r="N361" i="1"/>
  <c r="N365" i="1"/>
  <c r="N369" i="1"/>
  <c r="N373" i="1"/>
  <c r="N377" i="1"/>
  <c r="N381" i="1"/>
  <c r="N385" i="1"/>
  <c r="N389" i="1"/>
  <c r="N393" i="1"/>
  <c r="N397" i="1"/>
  <c r="N401" i="1"/>
  <c r="N405" i="1"/>
  <c r="N409" i="1"/>
  <c r="N413" i="1"/>
  <c r="N417" i="1"/>
  <c r="N421" i="1"/>
  <c r="N425" i="1"/>
  <c r="N429" i="1"/>
  <c r="N433" i="1"/>
  <c r="N437" i="1"/>
  <c r="N441" i="1"/>
  <c r="N445" i="1"/>
  <c r="N449" i="1"/>
  <c r="N453" i="1"/>
  <c r="N457" i="1"/>
  <c r="N461" i="1"/>
  <c r="N465" i="1"/>
  <c r="N469" i="1"/>
  <c r="N473" i="1"/>
  <c r="N477" i="1"/>
  <c r="N481" i="1"/>
  <c r="N485" i="1"/>
  <c r="N489" i="1"/>
  <c r="N493" i="1"/>
  <c r="N497" i="1"/>
  <c r="N501" i="1"/>
  <c r="N505" i="1"/>
  <c r="N509" i="1"/>
  <c r="N513" i="1"/>
  <c r="N517" i="1"/>
  <c r="N521" i="1"/>
  <c r="N525" i="1"/>
  <c r="N529" i="1"/>
  <c r="N533" i="1"/>
  <c r="N537" i="1"/>
  <c r="N541" i="1"/>
  <c r="N545" i="1"/>
  <c r="N549" i="1"/>
  <c r="N553" i="1"/>
  <c r="N557" i="1"/>
  <c r="N561" i="1"/>
  <c r="N565" i="1"/>
  <c r="N569" i="1"/>
  <c r="N573" i="1"/>
  <c r="N577" i="1"/>
  <c r="N581" i="1"/>
  <c r="N585" i="1"/>
  <c r="N589" i="1"/>
  <c r="N593" i="1"/>
  <c r="N14" i="1"/>
  <c r="N30" i="1"/>
  <c r="N46" i="1"/>
  <c r="N62" i="1"/>
  <c r="N78" i="1"/>
  <c r="N94" i="1"/>
  <c r="N110" i="1"/>
  <c r="N126" i="1"/>
  <c r="N142" i="1"/>
  <c r="N158" i="1"/>
  <c r="N174" i="1"/>
  <c r="N190" i="1"/>
  <c r="N206" i="1"/>
  <c r="N222" i="1"/>
  <c r="N238" i="1"/>
  <c r="N254" i="1"/>
  <c r="N270" i="1"/>
  <c r="N286" i="1"/>
  <c r="N302" i="1"/>
  <c r="N318" i="1"/>
  <c r="N334" i="1"/>
  <c r="N342" i="1"/>
  <c r="N346" i="1"/>
  <c r="N350" i="1"/>
  <c r="N354" i="1"/>
  <c r="N358" i="1"/>
  <c r="N362" i="1"/>
  <c r="N366" i="1"/>
  <c r="N370" i="1"/>
  <c r="N374" i="1"/>
  <c r="N378" i="1"/>
  <c r="N382" i="1"/>
  <c r="N386" i="1"/>
  <c r="N390" i="1"/>
  <c r="N394" i="1"/>
  <c r="N398" i="1"/>
  <c r="N402" i="1"/>
  <c r="N406" i="1"/>
  <c r="N410" i="1"/>
  <c r="N414" i="1"/>
  <c r="N418" i="1"/>
  <c r="N422" i="1"/>
  <c r="N426" i="1"/>
  <c r="N430" i="1"/>
  <c r="N434" i="1"/>
  <c r="N438" i="1"/>
  <c r="N442" i="1"/>
  <c r="N446" i="1"/>
  <c r="N450" i="1"/>
  <c r="N454" i="1"/>
  <c r="N458" i="1"/>
  <c r="N462" i="1"/>
  <c r="N466" i="1"/>
  <c r="N470" i="1"/>
  <c r="N474" i="1"/>
  <c r="N478" i="1"/>
  <c r="N482" i="1"/>
  <c r="N486" i="1"/>
  <c r="N490" i="1"/>
  <c r="N494" i="1"/>
  <c r="N498" i="1"/>
  <c r="N502" i="1"/>
  <c r="N506" i="1"/>
  <c r="N510" i="1"/>
  <c r="N514" i="1"/>
  <c r="N518" i="1"/>
  <c r="N522" i="1"/>
  <c r="N526" i="1"/>
  <c r="N530" i="1"/>
  <c r="N534" i="1"/>
  <c r="N538" i="1"/>
  <c r="N542" i="1"/>
  <c r="N546" i="1"/>
  <c r="N550" i="1"/>
  <c r="N554" i="1"/>
  <c r="N558" i="1"/>
  <c r="N562" i="1"/>
  <c r="N566" i="1"/>
  <c r="N570" i="1"/>
  <c r="N574" i="1"/>
  <c r="N578" i="1"/>
  <c r="N582" i="1"/>
  <c r="N586" i="1"/>
  <c r="N590" i="1"/>
  <c r="N594" i="1"/>
  <c r="N18" i="1"/>
  <c r="N82" i="1"/>
  <c r="N146" i="1"/>
  <c r="N210" i="1"/>
  <c r="N274" i="1"/>
  <c r="N338" i="1"/>
  <c r="N355" i="1"/>
  <c r="N371" i="1"/>
  <c r="N387" i="1"/>
  <c r="N403" i="1"/>
  <c r="N419" i="1"/>
  <c r="N435" i="1"/>
  <c r="N451" i="1"/>
  <c r="N467" i="1"/>
  <c r="N483" i="1"/>
  <c r="N499" i="1"/>
  <c r="N515" i="1"/>
  <c r="N531" i="1"/>
  <c r="N547" i="1"/>
  <c r="N563" i="1"/>
  <c r="N579" i="1"/>
  <c r="N592" i="1"/>
  <c r="N598" i="1"/>
  <c r="N602" i="1"/>
  <c r="N606" i="1"/>
  <c r="N610" i="1"/>
  <c r="N614" i="1"/>
  <c r="N618" i="1"/>
  <c r="N622" i="1"/>
  <c r="N626" i="1"/>
  <c r="N630" i="1"/>
  <c r="N634" i="1"/>
  <c r="N638" i="1"/>
  <c r="N642" i="1"/>
  <c r="N646" i="1"/>
  <c r="N650" i="1"/>
  <c r="N654" i="1"/>
  <c r="N658" i="1"/>
  <c r="N662" i="1"/>
  <c r="N666" i="1"/>
  <c r="N670" i="1"/>
  <c r="N674" i="1"/>
  <c r="N678" i="1"/>
  <c r="N682" i="1"/>
  <c r="N686" i="1"/>
  <c r="N690" i="1"/>
  <c r="N694" i="1"/>
  <c r="N698" i="1"/>
  <c r="N702" i="1"/>
  <c r="N706" i="1"/>
  <c r="N710" i="1"/>
  <c r="N714" i="1"/>
  <c r="N718" i="1"/>
  <c r="N722" i="1"/>
  <c r="N726" i="1"/>
  <c r="N730" i="1"/>
  <c r="N734" i="1"/>
  <c r="N738" i="1"/>
  <c r="N742" i="1"/>
  <c r="N746" i="1"/>
  <c r="N750" i="1"/>
  <c r="N754" i="1"/>
  <c r="N758" i="1"/>
  <c r="N762" i="1"/>
  <c r="N766" i="1"/>
  <c r="N770" i="1"/>
  <c r="N774" i="1"/>
  <c r="N778" i="1"/>
  <c r="N782" i="1"/>
  <c r="N786" i="1"/>
  <c r="N790" i="1"/>
  <c r="N794" i="1"/>
  <c r="N798" i="1"/>
  <c r="N802" i="1"/>
  <c r="N806" i="1"/>
  <c r="N810" i="1"/>
  <c r="N814" i="1"/>
  <c r="N818" i="1"/>
  <c r="N822" i="1"/>
  <c r="N826" i="1"/>
  <c r="N830" i="1"/>
  <c r="N834" i="1"/>
  <c r="N838" i="1"/>
  <c r="N842" i="1"/>
  <c r="N846" i="1"/>
  <c r="N34" i="1"/>
  <c r="N98" i="1"/>
  <c r="N162" i="1"/>
  <c r="N226" i="1"/>
  <c r="N290" i="1"/>
  <c r="N343" i="1"/>
  <c r="N359" i="1"/>
  <c r="N375" i="1"/>
  <c r="N391" i="1"/>
  <c r="N407" i="1"/>
  <c r="N423" i="1"/>
  <c r="N439" i="1"/>
  <c r="N455" i="1"/>
  <c r="N471" i="1"/>
  <c r="N487" i="1"/>
  <c r="N503" i="1"/>
  <c r="N519" i="1"/>
  <c r="N535" i="1"/>
  <c r="N551" i="1"/>
  <c r="N567" i="1"/>
  <c r="N583" i="1"/>
  <c r="N595" i="1"/>
  <c r="N599" i="1"/>
  <c r="N603" i="1"/>
  <c r="N607" i="1"/>
  <c r="N611" i="1"/>
  <c r="N615" i="1"/>
  <c r="N619" i="1"/>
  <c r="N623" i="1"/>
  <c r="N627" i="1"/>
  <c r="N631" i="1"/>
  <c r="N635" i="1"/>
  <c r="N639" i="1"/>
  <c r="N643" i="1"/>
  <c r="N647" i="1"/>
  <c r="N651" i="1"/>
  <c r="N655" i="1"/>
  <c r="N659" i="1"/>
  <c r="N663" i="1"/>
  <c r="N667" i="1"/>
  <c r="N671" i="1"/>
  <c r="N675" i="1"/>
  <c r="N679" i="1"/>
  <c r="N683" i="1"/>
  <c r="N687" i="1"/>
  <c r="N691" i="1"/>
  <c r="N695" i="1"/>
  <c r="N699" i="1"/>
  <c r="N703" i="1"/>
  <c r="N707" i="1"/>
  <c r="N711" i="1"/>
  <c r="N715" i="1"/>
  <c r="N719" i="1"/>
  <c r="N723" i="1"/>
  <c r="N727" i="1"/>
  <c r="N731" i="1"/>
  <c r="N735" i="1"/>
  <c r="N739" i="1"/>
  <c r="N743" i="1"/>
  <c r="N747" i="1"/>
  <c r="N751" i="1"/>
  <c r="N755" i="1"/>
  <c r="N759" i="1"/>
  <c r="N763" i="1"/>
  <c r="N767" i="1"/>
  <c r="N771" i="1"/>
  <c r="N775" i="1"/>
  <c r="N779" i="1"/>
  <c r="N783" i="1"/>
  <c r="N787" i="1"/>
  <c r="N791" i="1"/>
  <c r="N795" i="1"/>
  <c r="N799" i="1"/>
  <c r="N803" i="1"/>
  <c r="N807" i="1"/>
  <c r="N811" i="1"/>
  <c r="N815" i="1"/>
  <c r="N819" i="1"/>
  <c r="N823" i="1"/>
  <c r="N827" i="1"/>
  <c r="N831" i="1"/>
  <c r="N50" i="1"/>
  <c r="N114" i="1"/>
  <c r="N178" i="1"/>
  <c r="N242" i="1"/>
  <c r="N306" i="1"/>
  <c r="N347" i="1"/>
  <c r="N363" i="1"/>
  <c r="N379" i="1"/>
  <c r="N395" i="1"/>
  <c r="N411" i="1"/>
  <c r="N427" i="1"/>
  <c r="N443" i="1"/>
  <c r="N459" i="1"/>
  <c r="N475" i="1"/>
  <c r="N491" i="1"/>
  <c r="N507" i="1"/>
  <c r="N523" i="1"/>
  <c r="N539" i="1"/>
  <c r="N555" i="1"/>
  <c r="N571" i="1"/>
  <c r="N587" i="1"/>
  <c r="N596" i="1"/>
  <c r="N600" i="1"/>
  <c r="N604" i="1"/>
  <c r="N608" i="1"/>
  <c r="N612" i="1"/>
  <c r="N616" i="1"/>
  <c r="N620" i="1"/>
  <c r="N624" i="1"/>
  <c r="N628" i="1"/>
  <c r="N632" i="1"/>
  <c r="N636" i="1"/>
  <c r="N640" i="1"/>
  <c r="N644" i="1"/>
  <c r="N648" i="1"/>
  <c r="N652" i="1"/>
  <c r="N656" i="1"/>
  <c r="N660" i="1"/>
  <c r="N664" i="1"/>
  <c r="N668" i="1"/>
  <c r="N672" i="1"/>
  <c r="N676" i="1"/>
  <c r="N680" i="1"/>
  <c r="N684" i="1"/>
  <c r="N688" i="1"/>
  <c r="N692" i="1"/>
  <c r="N696" i="1"/>
  <c r="N700" i="1"/>
  <c r="N704" i="1"/>
  <c r="N708" i="1"/>
  <c r="N712" i="1"/>
  <c r="N716" i="1"/>
  <c r="N720" i="1"/>
  <c r="N724" i="1"/>
  <c r="N728" i="1"/>
  <c r="N732" i="1"/>
  <c r="N736" i="1"/>
  <c r="N740" i="1"/>
  <c r="N744" i="1"/>
  <c r="N748" i="1"/>
  <c r="N752" i="1"/>
  <c r="N756" i="1"/>
  <c r="N760" i="1"/>
  <c r="N764" i="1"/>
  <c r="N768" i="1"/>
  <c r="N772" i="1"/>
  <c r="N776" i="1"/>
  <c r="N780" i="1"/>
  <c r="N784" i="1"/>
  <c r="N788" i="1"/>
  <c r="N792" i="1"/>
  <c r="N796" i="1"/>
  <c r="N800" i="1"/>
  <c r="N804" i="1"/>
  <c r="N808" i="1"/>
  <c r="N812" i="1"/>
  <c r="N816" i="1"/>
  <c r="N820" i="1"/>
  <c r="N824" i="1"/>
  <c r="N972" i="1"/>
  <c r="N968" i="1"/>
  <c r="N964" i="1"/>
  <c r="N960" i="1"/>
  <c r="N956" i="1"/>
  <c r="N952" i="1"/>
  <c r="N948" i="1"/>
  <c r="N944" i="1"/>
  <c r="N940" i="1"/>
  <c r="N936" i="1"/>
  <c r="N932" i="1"/>
  <c r="N928" i="1"/>
  <c r="N924" i="1"/>
  <c r="N920" i="1"/>
  <c r="N916" i="1"/>
  <c r="N912" i="1"/>
  <c r="N908" i="1"/>
  <c r="N904" i="1"/>
  <c r="N900" i="1"/>
  <c r="N896" i="1"/>
  <c r="N892" i="1"/>
  <c r="N888" i="1"/>
  <c r="N884" i="1"/>
  <c r="N880" i="1"/>
  <c r="N876" i="1"/>
  <c r="N872" i="1"/>
  <c r="N868" i="1"/>
  <c r="N864" i="1"/>
  <c r="N860" i="1"/>
  <c r="N856" i="1"/>
  <c r="N852" i="1"/>
  <c r="N848" i="1"/>
  <c r="N843" i="1"/>
  <c r="N837" i="1"/>
  <c r="N832" i="1"/>
  <c r="N821" i="1"/>
  <c r="N805" i="1"/>
  <c r="N789" i="1"/>
  <c r="N773" i="1"/>
  <c r="N757" i="1"/>
  <c r="N741" i="1"/>
  <c r="N725" i="1"/>
  <c r="N709" i="1"/>
  <c r="N693" i="1"/>
  <c r="N677" i="1"/>
  <c r="N661" i="1"/>
  <c r="N645" i="1"/>
  <c r="N629" i="1"/>
  <c r="N613" i="1"/>
  <c r="N597" i="1"/>
  <c r="N543" i="1"/>
  <c r="N479" i="1"/>
  <c r="N415" i="1"/>
  <c r="N351" i="1"/>
  <c r="N130" i="1"/>
  <c r="N971" i="1"/>
  <c r="N967" i="1"/>
  <c r="N963" i="1"/>
  <c r="N959" i="1"/>
  <c r="N955" i="1"/>
  <c r="N951" i="1"/>
  <c r="N947" i="1"/>
  <c r="N943" i="1"/>
  <c r="N939" i="1"/>
  <c r="N935" i="1"/>
  <c r="N931" i="1"/>
  <c r="N927" i="1"/>
  <c r="N923" i="1"/>
  <c r="N919" i="1"/>
  <c r="N915" i="1"/>
  <c r="N911" i="1"/>
  <c r="N907" i="1"/>
  <c r="N903" i="1"/>
  <c r="N899" i="1"/>
  <c r="N895" i="1"/>
  <c r="N891" i="1"/>
  <c r="N887" i="1"/>
  <c r="N883" i="1"/>
  <c r="N879" i="1"/>
  <c r="N875" i="1"/>
  <c r="N871" i="1"/>
  <c r="N867" i="1"/>
  <c r="N863" i="1"/>
  <c r="N859" i="1"/>
  <c r="N855" i="1"/>
  <c r="N851" i="1"/>
  <c r="N847" i="1"/>
  <c r="N841" i="1"/>
  <c r="N836" i="1"/>
  <c r="N829" i="1"/>
  <c r="N817" i="1"/>
  <c r="N801" i="1"/>
  <c r="N785" i="1"/>
  <c r="N769" i="1"/>
  <c r="N753" i="1"/>
  <c r="N737" i="1"/>
  <c r="N721" i="1"/>
  <c r="N705" i="1"/>
  <c r="N689" i="1"/>
  <c r="N673" i="1"/>
  <c r="N657" i="1"/>
  <c r="N641" i="1"/>
  <c r="N625" i="1"/>
  <c r="N609" i="1"/>
  <c r="N591" i="1"/>
  <c r="N527" i="1"/>
  <c r="N463" i="1"/>
  <c r="N399" i="1"/>
  <c r="N322" i="1"/>
  <c r="N66" i="1"/>
  <c r="M196" i="1"/>
  <c r="N2" i="1"/>
  <c r="M613" i="1"/>
  <c r="M450" i="1"/>
  <c r="M386" i="1"/>
  <c r="M260" i="1"/>
  <c r="M972" i="1"/>
  <c r="M960" i="1"/>
  <c r="M944" i="1"/>
  <c r="M932" i="1"/>
  <c r="M920" i="1"/>
  <c r="M908" i="1"/>
  <c r="M900" i="1"/>
  <c r="M884" i="1"/>
  <c r="M869" i="1"/>
  <c r="M839" i="1"/>
  <c r="M791" i="1"/>
  <c r="M759" i="1"/>
  <c r="M695" i="1"/>
  <c r="M679" i="1"/>
  <c r="M647" i="1"/>
  <c r="M514" i="1"/>
  <c r="M971" i="1"/>
  <c r="M967" i="1"/>
  <c r="M963" i="1"/>
  <c r="M959" i="1"/>
  <c r="M955" i="1"/>
  <c r="M951" i="1"/>
  <c r="M947" i="1"/>
  <c r="M943" i="1"/>
  <c r="M939" i="1"/>
  <c r="M935" i="1"/>
  <c r="M931" i="1"/>
  <c r="M927" i="1"/>
  <c r="M923" i="1"/>
  <c r="M919" i="1"/>
  <c r="M915" i="1"/>
  <c r="M911" i="1"/>
  <c r="M907" i="1"/>
  <c r="M903" i="1"/>
  <c r="M899" i="1"/>
  <c r="M895" i="1"/>
  <c r="M891" i="1"/>
  <c r="M887" i="1"/>
  <c r="M883" i="1"/>
  <c r="M878" i="1"/>
  <c r="M873" i="1"/>
  <c r="M867" i="1"/>
  <c r="M862" i="1"/>
  <c r="M851" i="1"/>
  <c r="M835" i="1"/>
  <c r="M819" i="1"/>
  <c r="M803" i="1"/>
  <c r="M787" i="1"/>
  <c r="M771" i="1"/>
  <c r="M755" i="1"/>
  <c r="M739" i="1"/>
  <c r="M723" i="1"/>
  <c r="M707" i="1"/>
  <c r="M691" i="1"/>
  <c r="M675" i="1"/>
  <c r="M659" i="1"/>
  <c r="M643" i="1"/>
  <c r="M627" i="1"/>
  <c r="M607" i="1"/>
  <c r="M562" i="1"/>
  <c r="M498" i="1"/>
  <c r="M434" i="1"/>
  <c r="M370" i="1"/>
  <c r="M964" i="1"/>
  <c r="M952" i="1"/>
  <c r="M940" i="1"/>
  <c r="M928" i="1"/>
  <c r="M916" i="1"/>
  <c r="M904" i="1"/>
  <c r="M892" i="1"/>
  <c r="M879" i="1"/>
  <c r="M863" i="1"/>
  <c r="M823" i="1"/>
  <c r="M775" i="1"/>
  <c r="M727" i="1"/>
  <c r="M578" i="1"/>
  <c r="M2" i="1"/>
  <c r="M5" i="1"/>
  <c r="M9" i="1"/>
  <c r="M13" i="1"/>
  <c r="M17" i="1"/>
  <c r="M21" i="1"/>
  <c r="M25" i="1"/>
  <c r="M29" i="1"/>
  <c r="M33" i="1"/>
  <c r="M37" i="1"/>
  <c r="M41" i="1"/>
  <c r="M45" i="1"/>
  <c r="M49" i="1"/>
  <c r="M53" i="1"/>
  <c r="M57" i="1"/>
  <c r="M61" i="1"/>
  <c r="M65" i="1"/>
  <c r="M69" i="1"/>
  <c r="M73" i="1"/>
  <c r="M77" i="1"/>
  <c r="M81" i="1"/>
  <c r="M85" i="1"/>
  <c r="M89" i="1"/>
  <c r="M93" i="1"/>
  <c r="M97" i="1"/>
  <c r="M101" i="1"/>
  <c r="M105" i="1"/>
  <c r="M109" i="1"/>
  <c r="M113" i="1"/>
  <c r="M117" i="1"/>
  <c r="M121" i="1"/>
  <c r="M125" i="1"/>
  <c r="M129" i="1"/>
  <c r="M133" i="1"/>
  <c r="M137" i="1"/>
  <c r="M141" i="1"/>
  <c r="M145" i="1"/>
  <c r="M149" i="1"/>
  <c r="M153" i="1"/>
  <c r="M157" i="1"/>
  <c r="M161" i="1"/>
  <c r="M165" i="1"/>
  <c r="M169" i="1"/>
  <c r="M173" i="1"/>
  <c r="M177" i="1"/>
  <c r="M181" i="1"/>
  <c r="M185" i="1"/>
  <c r="M189" i="1"/>
  <c r="M193" i="1"/>
  <c r="M197" i="1"/>
  <c r="M201" i="1"/>
  <c r="M205" i="1"/>
  <c r="M209" i="1"/>
  <c r="M213" i="1"/>
  <c r="M217" i="1"/>
  <c r="M221" i="1"/>
  <c r="M225" i="1"/>
  <c r="M229" i="1"/>
  <c r="M233" i="1"/>
  <c r="M237" i="1"/>
  <c r="M241" i="1"/>
  <c r="M245" i="1"/>
  <c r="M249" i="1"/>
  <c r="M253" i="1"/>
  <c r="M257" i="1"/>
  <c r="M261" i="1"/>
  <c r="M265" i="1"/>
  <c r="M269" i="1"/>
  <c r="M273" i="1"/>
  <c r="M277" i="1"/>
  <c r="M281" i="1"/>
  <c r="M285" i="1"/>
  <c r="M289" i="1"/>
  <c r="M293" i="1"/>
  <c r="M297" i="1"/>
  <c r="M301" i="1"/>
  <c r="M305" i="1"/>
  <c r="M309" i="1"/>
  <c r="M313" i="1"/>
  <c r="M317" i="1"/>
  <c r="M321" i="1"/>
  <c r="M325" i="1"/>
  <c r="M329" i="1"/>
  <c r="M333" i="1"/>
  <c r="M337" i="1"/>
  <c r="M6" i="1"/>
  <c r="M10" i="1"/>
  <c r="M14" i="1"/>
  <c r="M18" i="1"/>
  <c r="M22" i="1"/>
  <c r="M26" i="1"/>
  <c r="M30" i="1"/>
  <c r="M34" i="1"/>
  <c r="M38" i="1"/>
  <c r="M42" i="1"/>
  <c r="M46" i="1"/>
  <c r="M50" i="1"/>
  <c r="M54" i="1"/>
  <c r="M58" i="1"/>
  <c r="M62" i="1"/>
  <c r="M66" i="1"/>
  <c r="M70" i="1"/>
  <c r="M74" i="1"/>
  <c r="M78" i="1"/>
  <c r="M82" i="1"/>
  <c r="M86" i="1"/>
  <c r="M90" i="1"/>
  <c r="M94" i="1"/>
  <c r="M98" i="1"/>
  <c r="M102" i="1"/>
  <c r="M106" i="1"/>
  <c r="M110" i="1"/>
  <c r="M114" i="1"/>
  <c r="M118" i="1"/>
  <c r="M122" i="1"/>
  <c r="M126" i="1"/>
  <c r="M130" i="1"/>
  <c r="M134" i="1"/>
  <c r="M138" i="1"/>
  <c r="M142" i="1"/>
  <c r="M146" i="1"/>
  <c r="M150" i="1"/>
  <c r="M154" i="1"/>
  <c r="M158" i="1"/>
  <c r="M162" i="1"/>
  <c r="M166" i="1"/>
  <c r="M170" i="1"/>
  <c r="M174" i="1"/>
  <c r="M178" i="1"/>
  <c r="M182" i="1"/>
  <c r="M186" i="1"/>
  <c r="M190" i="1"/>
  <c r="M194" i="1"/>
  <c r="M198" i="1"/>
  <c r="M202" i="1"/>
  <c r="M206" i="1"/>
  <c r="M210" i="1"/>
  <c r="M214" i="1"/>
  <c r="M218" i="1"/>
  <c r="M222" i="1"/>
  <c r="M226" i="1"/>
  <c r="M230" i="1"/>
  <c r="M234" i="1"/>
  <c r="M238" i="1"/>
  <c r="M242" i="1"/>
  <c r="M246" i="1"/>
  <c r="M250" i="1"/>
  <c r="M254" i="1"/>
  <c r="M258" i="1"/>
  <c r="M262" i="1"/>
  <c r="M266" i="1"/>
  <c r="M270" i="1"/>
  <c r="M274" i="1"/>
  <c r="M278" i="1"/>
  <c r="M282" i="1"/>
  <c r="M286" i="1"/>
  <c r="M290" i="1"/>
  <c r="M294" i="1"/>
  <c r="M298" i="1"/>
  <c r="M302" i="1"/>
  <c r="M306" i="1"/>
  <c r="M310" i="1"/>
  <c r="M314" i="1"/>
  <c r="M318" i="1"/>
  <c r="M322" i="1"/>
  <c r="M326" i="1"/>
  <c r="M330" i="1"/>
  <c r="M334" i="1"/>
  <c r="M338" i="1"/>
  <c r="M342" i="1"/>
  <c r="M7" i="1"/>
  <c r="M11" i="1"/>
  <c r="M15" i="1"/>
  <c r="M19" i="1"/>
  <c r="M23" i="1"/>
  <c r="M27" i="1"/>
  <c r="M31" i="1"/>
  <c r="M35" i="1"/>
  <c r="M39" i="1"/>
  <c r="M43" i="1"/>
  <c r="M47" i="1"/>
  <c r="M51" i="1"/>
  <c r="M55" i="1"/>
  <c r="M59" i="1"/>
  <c r="M63" i="1"/>
  <c r="M67" i="1"/>
  <c r="M71" i="1"/>
  <c r="M75" i="1"/>
  <c r="M79" i="1"/>
  <c r="M83" i="1"/>
  <c r="M87" i="1"/>
  <c r="M91" i="1"/>
  <c r="M95" i="1"/>
  <c r="M99" i="1"/>
  <c r="M103" i="1"/>
  <c r="M107" i="1"/>
  <c r="M111" i="1"/>
  <c r="M115" i="1"/>
  <c r="M119" i="1"/>
  <c r="M123" i="1"/>
  <c r="M127" i="1"/>
  <c r="M131" i="1"/>
  <c r="M135" i="1"/>
  <c r="M139" i="1"/>
  <c r="M143" i="1"/>
  <c r="M147" i="1"/>
  <c r="M151" i="1"/>
  <c r="M155" i="1"/>
  <c r="M159" i="1"/>
  <c r="M163" i="1"/>
  <c r="M167" i="1"/>
  <c r="M171" i="1"/>
  <c r="M175" i="1"/>
  <c r="M179" i="1"/>
  <c r="M183" i="1"/>
  <c r="M187" i="1"/>
  <c r="M191" i="1"/>
  <c r="M195" i="1"/>
  <c r="M199" i="1"/>
  <c r="M203" i="1"/>
  <c r="M207" i="1"/>
  <c r="M211" i="1"/>
  <c r="M215" i="1"/>
  <c r="M219" i="1"/>
  <c r="M223" i="1"/>
  <c r="M227" i="1"/>
  <c r="M231" i="1"/>
  <c r="M235" i="1"/>
  <c r="M239" i="1"/>
  <c r="M243" i="1"/>
  <c r="M247" i="1"/>
  <c r="M251" i="1"/>
  <c r="M255" i="1"/>
  <c r="M259" i="1"/>
  <c r="M263" i="1"/>
  <c r="M267" i="1"/>
  <c r="M271" i="1"/>
  <c r="M275" i="1"/>
  <c r="M279" i="1"/>
  <c r="M283" i="1"/>
  <c r="M287" i="1"/>
  <c r="M291" i="1"/>
  <c r="M295" i="1"/>
  <c r="M299" i="1"/>
  <c r="M303" i="1"/>
  <c r="M307" i="1"/>
  <c r="M311" i="1"/>
  <c r="M315" i="1"/>
  <c r="M319" i="1"/>
  <c r="M323" i="1"/>
  <c r="M327" i="1"/>
  <c r="M331" i="1"/>
  <c r="M335" i="1"/>
  <c r="M339" i="1"/>
  <c r="M343" i="1"/>
  <c r="M8" i="1"/>
  <c r="M24" i="1"/>
  <c r="M40" i="1"/>
  <c r="M56" i="1"/>
  <c r="M72" i="1"/>
  <c r="M88" i="1"/>
  <c r="M104" i="1"/>
  <c r="M120" i="1"/>
  <c r="M136" i="1"/>
  <c r="M152" i="1"/>
  <c r="M168" i="1"/>
  <c r="M184" i="1"/>
  <c r="M200" i="1"/>
  <c r="M216" i="1"/>
  <c r="M232" i="1"/>
  <c r="M248" i="1"/>
  <c r="M264" i="1"/>
  <c r="M280" i="1"/>
  <c r="M296" i="1"/>
  <c r="M312" i="1"/>
  <c r="M328" i="1"/>
  <c r="M341" i="1"/>
  <c r="M347" i="1"/>
  <c r="M351" i="1"/>
  <c r="M355" i="1"/>
  <c r="M359" i="1"/>
  <c r="M363" i="1"/>
  <c r="M367" i="1"/>
  <c r="M371" i="1"/>
  <c r="M375" i="1"/>
  <c r="M379" i="1"/>
  <c r="M383" i="1"/>
  <c r="M387" i="1"/>
  <c r="M391" i="1"/>
  <c r="M395" i="1"/>
  <c r="M399" i="1"/>
  <c r="M403" i="1"/>
  <c r="M407" i="1"/>
  <c r="M411" i="1"/>
  <c r="M415" i="1"/>
  <c r="M419" i="1"/>
  <c r="M423" i="1"/>
  <c r="M427" i="1"/>
  <c r="M431" i="1"/>
  <c r="M435" i="1"/>
  <c r="M439" i="1"/>
  <c r="M443" i="1"/>
  <c r="M447" i="1"/>
  <c r="M451" i="1"/>
  <c r="M455" i="1"/>
  <c r="M459" i="1"/>
  <c r="M463" i="1"/>
  <c r="M467" i="1"/>
  <c r="M471" i="1"/>
  <c r="M475" i="1"/>
  <c r="M479" i="1"/>
  <c r="M483" i="1"/>
  <c r="M487" i="1"/>
  <c r="M491" i="1"/>
  <c r="M495" i="1"/>
  <c r="M499" i="1"/>
  <c r="M503" i="1"/>
  <c r="M507" i="1"/>
  <c r="M511" i="1"/>
  <c r="M515" i="1"/>
  <c r="M519" i="1"/>
  <c r="M523" i="1"/>
  <c r="M527" i="1"/>
  <c r="M531" i="1"/>
  <c r="M535" i="1"/>
  <c r="M539" i="1"/>
  <c r="M543" i="1"/>
  <c r="M547" i="1"/>
  <c r="M551" i="1"/>
  <c r="M555" i="1"/>
  <c r="M559" i="1"/>
  <c r="M563" i="1"/>
  <c r="M567" i="1"/>
  <c r="M571" i="1"/>
  <c r="M575" i="1"/>
  <c r="M579" i="1"/>
  <c r="M583" i="1"/>
  <c r="M587" i="1"/>
  <c r="M591" i="1"/>
  <c r="M595" i="1"/>
  <c r="M12" i="1"/>
  <c r="M28" i="1"/>
  <c r="M44" i="1"/>
  <c r="M60" i="1"/>
  <c r="M76" i="1"/>
  <c r="M92" i="1"/>
  <c r="M108" i="1"/>
  <c r="M124" i="1"/>
  <c r="M140" i="1"/>
  <c r="M156" i="1"/>
  <c r="M172" i="1"/>
  <c r="M188" i="1"/>
  <c r="M204" i="1"/>
  <c r="M220" i="1"/>
  <c r="M236" i="1"/>
  <c r="M252" i="1"/>
  <c r="M268" i="1"/>
  <c r="M284" i="1"/>
  <c r="M300" i="1"/>
  <c r="M316" i="1"/>
  <c r="M332" i="1"/>
  <c r="M344" i="1"/>
  <c r="M348" i="1"/>
  <c r="M352" i="1"/>
  <c r="M356" i="1"/>
  <c r="M360" i="1"/>
  <c r="M364" i="1"/>
  <c r="M368" i="1"/>
  <c r="M372" i="1"/>
  <c r="M376" i="1"/>
  <c r="M380" i="1"/>
  <c r="M384" i="1"/>
  <c r="M388" i="1"/>
  <c r="M392" i="1"/>
  <c r="M396" i="1"/>
  <c r="M400" i="1"/>
  <c r="M404" i="1"/>
  <c r="M408" i="1"/>
  <c r="M412" i="1"/>
  <c r="M416" i="1"/>
  <c r="M420" i="1"/>
  <c r="M424" i="1"/>
  <c r="M428" i="1"/>
  <c r="M432" i="1"/>
  <c r="M436" i="1"/>
  <c r="M440" i="1"/>
  <c r="M444" i="1"/>
  <c r="M448" i="1"/>
  <c r="M452" i="1"/>
  <c r="M456" i="1"/>
  <c r="M460" i="1"/>
  <c r="M464" i="1"/>
  <c r="M468" i="1"/>
  <c r="M472" i="1"/>
  <c r="M476" i="1"/>
  <c r="M480" i="1"/>
  <c r="M484" i="1"/>
  <c r="M488" i="1"/>
  <c r="M492" i="1"/>
  <c r="M496" i="1"/>
  <c r="M500" i="1"/>
  <c r="M504" i="1"/>
  <c r="M508" i="1"/>
  <c r="M512" i="1"/>
  <c r="M516" i="1"/>
  <c r="M520" i="1"/>
  <c r="M524" i="1"/>
  <c r="M528" i="1"/>
  <c r="M532" i="1"/>
  <c r="M536" i="1"/>
  <c r="M540" i="1"/>
  <c r="M544" i="1"/>
  <c r="M548" i="1"/>
  <c r="M552" i="1"/>
  <c r="M556" i="1"/>
  <c r="M560" i="1"/>
  <c r="M564" i="1"/>
  <c r="M568" i="1"/>
  <c r="M572" i="1"/>
  <c r="M576" i="1"/>
  <c r="M580" i="1"/>
  <c r="M584" i="1"/>
  <c r="M588" i="1"/>
  <c r="M592" i="1"/>
  <c r="M596" i="1"/>
  <c r="M600" i="1"/>
  <c r="M604" i="1"/>
  <c r="M608" i="1"/>
  <c r="M612" i="1"/>
  <c r="M616" i="1"/>
  <c r="M620" i="1"/>
  <c r="M16" i="1"/>
  <c r="M32" i="1"/>
  <c r="M48" i="1"/>
  <c r="M64" i="1"/>
  <c r="M80" i="1"/>
  <c r="M96" i="1"/>
  <c r="M112" i="1"/>
  <c r="M128" i="1"/>
  <c r="M144" i="1"/>
  <c r="M160" i="1"/>
  <c r="M176" i="1"/>
  <c r="M192" i="1"/>
  <c r="M208" i="1"/>
  <c r="M224" i="1"/>
  <c r="M240" i="1"/>
  <c r="M256" i="1"/>
  <c r="M272" i="1"/>
  <c r="M288" i="1"/>
  <c r="M304" i="1"/>
  <c r="M320" i="1"/>
  <c r="M336" i="1"/>
  <c r="M345" i="1"/>
  <c r="M349" i="1"/>
  <c r="M353" i="1"/>
  <c r="M357" i="1"/>
  <c r="M361" i="1"/>
  <c r="M365" i="1"/>
  <c r="M369" i="1"/>
  <c r="M373" i="1"/>
  <c r="M377" i="1"/>
  <c r="M381" i="1"/>
  <c r="M385" i="1"/>
  <c r="M389" i="1"/>
  <c r="M393" i="1"/>
  <c r="M397" i="1"/>
  <c r="M401" i="1"/>
  <c r="M405" i="1"/>
  <c r="M409" i="1"/>
  <c r="M413" i="1"/>
  <c r="M417" i="1"/>
  <c r="M421" i="1"/>
  <c r="M425" i="1"/>
  <c r="M429" i="1"/>
  <c r="M433" i="1"/>
  <c r="M437" i="1"/>
  <c r="M441" i="1"/>
  <c r="M445" i="1"/>
  <c r="M449" i="1"/>
  <c r="M453" i="1"/>
  <c r="M457" i="1"/>
  <c r="M461" i="1"/>
  <c r="M465" i="1"/>
  <c r="M469" i="1"/>
  <c r="M473" i="1"/>
  <c r="M477" i="1"/>
  <c r="M481" i="1"/>
  <c r="M485" i="1"/>
  <c r="M489" i="1"/>
  <c r="M493" i="1"/>
  <c r="M497" i="1"/>
  <c r="M501" i="1"/>
  <c r="M505" i="1"/>
  <c r="M509" i="1"/>
  <c r="M513" i="1"/>
  <c r="M517" i="1"/>
  <c r="M521" i="1"/>
  <c r="M525" i="1"/>
  <c r="M529" i="1"/>
  <c r="M533" i="1"/>
  <c r="M537" i="1"/>
  <c r="M541" i="1"/>
  <c r="M545" i="1"/>
  <c r="M549" i="1"/>
  <c r="M553" i="1"/>
  <c r="M557" i="1"/>
  <c r="M561" i="1"/>
  <c r="M565" i="1"/>
  <c r="M569" i="1"/>
  <c r="M573" i="1"/>
  <c r="M577" i="1"/>
  <c r="M581" i="1"/>
  <c r="M585" i="1"/>
  <c r="M589" i="1"/>
  <c r="M593" i="1"/>
  <c r="M597" i="1"/>
  <c r="M20" i="1"/>
  <c r="M84" i="1"/>
  <c r="M148" i="1"/>
  <c r="M212" i="1"/>
  <c r="M276" i="1"/>
  <c r="M340" i="1"/>
  <c r="M358" i="1"/>
  <c r="M374" i="1"/>
  <c r="M390" i="1"/>
  <c r="M406" i="1"/>
  <c r="M422" i="1"/>
  <c r="M438" i="1"/>
  <c r="M454" i="1"/>
  <c r="M470" i="1"/>
  <c r="M486" i="1"/>
  <c r="M502" i="1"/>
  <c r="M518" i="1"/>
  <c r="M534" i="1"/>
  <c r="M550" i="1"/>
  <c r="M566" i="1"/>
  <c r="M582" i="1"/>
  <c r="M598" i="1"/>
  <c r="M603" i="1"/>
  <c r="M609" i="1"/>
  <c r="M614" i="1"/>
  <c r="M619" i="1"/>
  <c r="M624" i="1"/>
  <c r="M628" i="1"/>
  <c r="M632" i="1"/>
  <c r="M636" i="1"/>
  <c r="M640" i="1"/>
  <c r="M644" i="1"/>
  <c r="M648" i="1"/>
  <c r="M652" i="1"/>
  <c r="M656" i="1"/>
  <c r="M660" i="1"/>
  <c r="M664" i="1"/>
  <c r="M668" i="1"/>
  <c r="M672" i="1"/>
  <c r="M676" i="1"/>
  <c r="M680" i="1"/>
  <c r="M684" i="1"/>
  <c r="M688" i="1"/>
  <c r="M692" i="1"/>
  <c r="M696" i="1"/>
  <c r="M700" i="1"/>
  <c r="M704" i="1"/>
  <c r="M708" i="1"/>
  <c r="M712" i="1"/>
  <c r="M716" i="1"/>
  <c r="M720" i="1"/>
  <c r="M724" i="1"/>
  <c r="M728" i="1"/>
  <c r="M732" i="1"/>
  <c r="M736" i="1"/>
  <c r="M740" i="1"/>
  <c r="M744" i="1"/>
  <c r="M748" i="1"/>
  <c r="M752" i="1"/>
  <c r="M756" i="1"/>
  <c r="M760" i="1"/>
  <c r="M764" i="1"/>
  <c r="M768" i="1"/>
  <c r="M772" i="1"/>
  <c r="M776" i="1"/>
  <c r="M780" i="1"/>
  <c r="M784" i="1"/>
  <c r="M788" i="1"/>
  <c r="M792" i="1"/>
  <c r="M796" i="1"/>
  <c r="M800" i="1"/>
  <c r="M804" i="1"/>
  <c r="M808" i="1"/>
  <c r="M812" i="1"/>
  <c r="M816" i="1"/>
  <c r="M820" i="1"/>
  <c r="M824" i="1"/>
  <c r="M828" i="1"/>
  <c r="M832" i="1"/>
  <c r="M836" i="1"/>
  <c r="M840" i="1"/>
  <c r="M844" i="1"/>
  <c r="M848" i="1"/>
  <c r="M852" i="1"/>
  <c r="M856" i="1"/>
  <c r="M860" i="1"/>
  <c r="M864" i="1"/>
  <c r="M868" i="1"/>
  <c r="M872" i="1"/>
  <c r="M876" i="1"/>
  <c r="M880" i="1"/>
  <c r="M36" i="1"/>
  <c r="M100" i="1"/>
  <c r="M164" i="1"/>
  <c r="M228" i="1"/>
  <c r="M292" i="1"/>
  <c r="M346" i="1"/>
  <c r="M362" i="1"/>
  <c r="M378" i="1"/>
  <c r="M394" i="1"/>
  <c r="M410" i="1"/>
  <c r="M426" i="1"/>
  <c r="M442" i="1"/>
  <c r="M458" i="1"/>
  <c r="M474" i="1"/>
  <c r="M490" i="1"/>
  <c r="M506" i="1"/>
  <c r="M522" i="1"/>
  <c r="M538" i="1"/>
  <c r="M554" i="1"/>
  <c r="M570" i="1"/>
  <c r="M586" i="1"/>
  <c r="M599" i="1"/>
  <c r="M605" i="1"/>
  <c r="M610" i="1"/>
  <c r="M615" i="1"/>
  <c r="M621" i="1"/>
  <c r="M625" i="1"/>
  <c r="M629" i="1"/>
  <c r="M633" i="1"/>
  <c r="M637" i="1"/>
  <c r="M641" i="1"/>
  <c r="M645" i="1"/>
  <c r="M649" i="1"/>
  <c r="M653" i="1"/>
  <c r="M657" i="1"/>
  <c r="M661" i="1"/>
  <c r="M665" i="1"/>
  <c r="M669" i="1"/>
  <c r="M673" i="1"/>
  <c r="M677" i="1"/>
  <c r="M681" i="1"/>
  <c r="M685" i="1"/>
  <c r="M689" i="1"/>
  <c r="M693" i="1"/>
  <c r="M697" i="1"/>
  <c r="M701" i="1"/>
  <c r="M705" i="1"/>
  <c r="M709" i="1"/>
  <c r="M713" i="1"/>
  <c r="M717" i="1"/>
  <c r="M721" i="1"/>
  <c r="M725" i="1"/>
  <c r="M729" i="1"/>
  <c r="M733" i="1"/>
  <c r="M737" i="1"/>
  <c r="M741" i="1"/>
  <c r="M745" i="1"/>
  <c r="M749" i="1"/>
  <c r="M753" i="1"/>
  <c r="M757" i="1"/>
  <c r="M761" i="1"/>
  <c r="M765" i="1"/>
  <c r="M769" i="1"/>
  <c r="M773" i="1"/>
  <c r="M777" i="1"/>
  <c r="M781" i="1"/>
  <c r="M785" i="1"/>
  <c r="M789" i="1"/>
  <c r="M793" i="1"/>
  <c r="M797" i="1"/>
  <c r="M801" i="1"/>
  <c r="M805" i="1"/>
  <c r="M809" i="1"/>
  <c r="M813" i="1"/>
  <c r="M817" i="1"/>
  <c r="M821" i="1"/>
  <c r="M825" i="1"/>
  <c r="M829" i="1"/>
  <c r="M833" i="1"/>
  <c r="M837" i="1"/>
  <c r="M841" i="1"/>
  <c r="M845" i="1"/>
  <c r="M849" i="1"/>
  <c r="M853" i="1"/>
  <c r="M857" i="1"/>
  <c r="M52" i="1"/>
  <c r="M116" i="1"/>
  <c r="M180" i="1"/>
  <c r="M244" i="1"/>
  <c r="M308" i="1"/>
  <c r="M350" i="1"/>
  <c r="M366" i="1"/>
  <c r="M382" i="1"/>
  <c r="M398" i="1"/>
  <c r="M414" i="1"/>
  <c r="M430" i="1"/>
  <c r="M446" i="1"/>
  <c r="M462" i="1"/>
  <c r="M478" i="1"/>
  <c r="M494" i="1"/>
  <c r="M510" i="1"/>
  <c r="M526" i="1"/>
  <c r="M542" i="1"/>
  <c r="M558" i="1"/>
  <c r="M574" i="1"/>
  <c r="M590" i="1"/>
  <c r="M601" i="1"/>
  <c r="M606" i="1"/>
  <c r="M611" i="1"/>
  <c r="M617" i="1"/>
  <c r="M622" i="1"/>
  <c r="M626" i="1"/>
  <c r="M630" i="1"/>
  <c r="M634" i="1"/>
  <c r="M638" i="1"/>
  <c r="M642" i="1"/>
  <c r="M646" i="1"/>
  <c r="M650" i="1"/>
  <c r="M654" i="1"/>
  <c r="M658" i="1"/>
  <c r="M662" i="1"/>
  <c r="M666" i="1"/>
  <c r="M670" i="1"/>
  <c r="M674" i="1"/>
  <c r="M678" i="1"/>
  <c r="M682" i="1"/>
  <c r="M686" i="1"/>
  <c r="M690" i="1"/>
  <c r="M694" i="1"/>
  <c r="M698" i="1"/>
  <c r="M702" i="1"/>
  <c r="M706" i="1"/>
  <c r="M710" i="1"/>
  <c r="M714" i="1"/>
  <c r="M718" i="1"/>
  <c r="M722" i="1"/>
  <c r="M726" i="1"/>
  <c r="M730" i="1"/>
  <c r="M734" i="1"/>
  <c r="M738" i="1"/>
  <c r="M742" i="1"/>
  <c r="M746" i="1"/>
  <c r="M750" i="1"/>
  <c r="M754" i="1"/>
  <c r="M758" i="1"/>
  <c r="M762" i="1"/>
  <c r="M766" i="1"/>
  <c r="M770" i="1"/>
  <c r="M774" i="1"/>
  <c r="M778" i="1"/>
  <c r="M782" i="1"/>
  <c r="M786" i="1"/>
  <c r="M790" i="1"/>
  <c r="M794" i="1"/>
  <c r="M798" i="1"/>
  <c r="M802" i="1"/>
  <c r="M806" i="1"/>
  <c r="M810" i="1"/>
  <c r="M814" i="1"/>
  <c r="M818" i="1"/>
  <c r="M822" i="1"/>
  <c r="M826" i="1"/>
  <c r="M830" i="1"/>
  <c r="M834" i="1"/>
  <c r="M838" i="1"/>
  <c r="M842" i="1"/>
  <c r="M846" i="1"/>
  <c r="M850" i="1"/>
  <c r="M854" i="1"/>
  <c r="M858" i="1"/>
  <c r="M970" i="1"/>
  <c r="M966" i="1"/>
  <c r="M962" i="1"/>
  <c r="M958" i="1"/>
  <c r="M954" i="1"/>
  <c r="M950" i="1"/>
  <c r="M946" i="1"/>
  <c r="M942" i="1"/>
  <c r="M938" i="1"/>
  <c r="M934" i="1"/>
  <c r="M930" i="1"/>
  <c r="M926" i="1"/>
  <c r="M922" i="1"/>
  <c r="M918" i="1"/>
  <c r="M914" i="1"/>
  <c r="M910" i="1"/>
  <c r="M906" i="1"/>
  <c r="M902" i="1"/>
  <c r="M898" i="1"/>
  <c r="M894" i="1"/>
  <c r="M890" i="1"/>
  <c r="M886" i="1"/>
  <c r="M882" i="1"/>
  <c r="M877" i="1"/>
  <c r="M871" i="1"/>
  <c r="M866" i="1"/>
  <c r="M861" i="1"/>
  <c r="M847" i="1"/>
  <c r="M831" i="1"/>
  <c r="M815" i="1"/>
  <c r="M799" i="1"/>
  <c r="M783" i="1"/>
  <c r="M767" i="1"/>
  <c r="M751" i="1"/>
  <c r="M735" i="1"/>
  <c r="M719" i="1"/>
  <c r="M703" i="1"/>
  <c r="M687" i="1"/>
  <c r="M671" i="1"/>
  <c r="M655" i="1"/>
  <c r="M639" i="1"/>
  <c r="M623" i="1"/>
  <c r="M602" i="1"/>
  <c r="M546" i="1"/>
  <c r="M482" i="1"/>
  <c r="M418" i="1"/>
  <c r="M354" i="1"/>
  <c r="M132" i="1"/>
  <c r="M968" i="1"/>
  <c r="M956" i="1"/>
  <c r="M948" i="1"/>
  <c r="M936" i="1"/>
  <c r="M924" i="1"/>
  <c r="M912" i="1"/>
  <c r="M896" i="1"/>
  <c r="M888" i="1"/>
  <c r="M874" i="1"/>
  <c r="M855" i="1"/>
  <c r="M807" i="1"/>
  <c r="M743" i="1"/>
  <c r="M711" i="1"/>
  <c r="M663" i="1"/>
  <c r="M631" i="1"/>
  <c r="M969" i="1"/>
  <c r="M965" i="1"/>
  <c r="M961" i="1"/>
  <c r="M957" i="1"/>
  <c r="M953" i="1"/>
  <c r="M949" i="1"/>
  <c r="M945" i="1"/>
  <c r="M941" i="1"/>
  <c r="M937" i="1"/>
  <c r="M933" i="1"/>
  <c r="M929" i="1"/>
  <c r="M925" i="1"/>
  <c r="M921" i="1"/>
  <c r="M917" i="1"/>
  <c r="M913" i="1"/>
  <c r="M909" i="1"/>
  <c r="M905" i="1"/>
  <c r="M901" i="1"/>
  <c r="M897" i="1"/>
  <c r="M893" i="1"/>
  <c r="M889" i="1"/>
  <c r="M885" i="1"/>
  <c r="M881" i="1"/>
  <c r="M875" i="1"/>
  <c r="M870" i="1"/>
  <c r="M865" i="1"/>
  <c r="M859" i="1"/>
  <c r="M843" i="1"/>
  <c r="M827" i="1"/>
  <c r="M811" i="1"/>
  <c r="M795" i="1"/>
  <c r="M779" i="1"/>
  <c r="M763" i="1"/>
  <c r="M747" i="1"/>
  <c r="M731" i="1"/>
  <c r="M715" i="1"/>
  <c r="M699" i="1"/>
  <c r="M683" i="1"/>
  <c r="M667" i="1"/>
  <c r="M651" i="1"/>
  <c r="M635" i="1"/>
  <c r="M618" i="1"/>
  <c r="M594" i="1"/>
  <c r="M530" i="1"/>
  <c r="M466" i="1"/>
  <c r="M402" i="1"/>
  <c r="M324" i="1"/>
  <c r="M68" i="1"/>
  <c r="M4" i="1"/>
  <c r="M3" i="1"/>
</calcChain>
</file>

<file path=xl/sharedStrings.xml><?xml version="1.0" encoding="utf-8"?>
<sst xmlns="http://schemas.openxmlformats.org/spreadsheetml/2006/main" count="1986" uniqueCount="1178">
  <si>
    <t>Loan_ID</t>
  </si>
  <si>
    <t>Applicant_Name</t>
  </si>
  <si>
    <t>Age</t>
  </si>
  <si>
    <t>Gender</t>
  </si>
  <si>
    <t>Annual_Income</t>
  </si>
  <si>
    <t>Loan_Amount</t>
  </si>
  <si>
    <t>Loan_Term_Months</t>
  </si>
  <si>
    <t>Credit_Score</t>
  </si>
  <si>
    <t>Employment_Type</t>
  </si>
  <si>
    <t>Loan_Purpose</t>
  </si>
  <si>
    <t>Approval_Status</t>
  </si>
  <si>
    <t>Total Applicants</t>
  </si>
  <si>
    <t>Approved Loans</t>
  </si>
  <si>
    <t>Rejected Loans</t>
  </si>
  <si>
    <t>Approval Rate (%)</t>
  </si>
  <si>
    <t>LN1000</t>
  </si>
  <si>
    <t>LN1001</t>
  </si>
  <si>
    <t>LN1002</t>
  </si>
  <si>
    <t>LN1003</t>
  </si>
  <si>
    <t>LN1004</t>
  </si>
  <si>
    <t>LN1005</t>
  </si>
  <si>
    <t>LN1006</t>
  </si>
  <si>
    <t>LN1007</t>
  </si>
  <si>
    <t>LN1008</t>
  </si>
  <si>
    <t>LN1009</t>
  </si>
  <si>
    <t>LN1010</t>
  </si>
  <si>
    <t>LN1011</t>
  </si>
  <si>
    <t>LN1012</t>
  </si>
  <si>
    <t>LN1013</t>
  </si>
  <si>
    <t>LN1014</t>
  </si>
  <si>
    <t>LN1015</t>
  </si>
  <si>
    <t>LN1016</t>
  </si>
  <si>
    <t>LN1017</t>
  </si>
  <si>
    <t>LN1018</t>
  </si>
  <si>
    <t>LN1019</t>
  </si>
  <si>
    <t>LN1020</t>
  </si>
  <si>
    <t>LN1021</t>
  </si>
  <si>
    <t>LN1022</t>
  </si>
  <si>
    <t>LN1023</t>
  </si>
  <si>
    <t>LN1024</t>
  </si>
  <si>
    <t>LN1025</t>
  </si>
  <si>
    <t>LN1026</t>
  </si>
  <si>
    <t>LN1027</t>
  </si>
  <si>
    <t>LN1028</t>
  </si>
  <si>
    <t>LN1029</t>
  </si>
  <si>
    <t>LN1030</t>
  </si>
  <si>
    <t>LN1031</t>
  </si>
  <si>
    <t>LN1032</t>
  </si>
  <si>
    <t>LN1033</t>
  </si>
  <si>
    <t>LN1034</t>
  </si>
  <si>
    <t>LN1035</t>
  </si>
  <si>
    <t>LN1036</t>
  </si>
  <si>
    <t>LN1037</t>
  </si>
  <si>
    <t>LN1038</t>
  </si>
  <si>
    <t>LN1039</t>
  </si>
  <si>
    <t>LN1040</t>
  </si>
  <si>
    <t>LN1041</t>
  </si>
  <si>
    <t>LN1042</t>
  </si>
  <si>
    <t>LN1043</t>
  </si>
  <si>
    <t>LN1044</t>
  </si>
  <si>
    <t>LN1045</t>
  </si>
  <si>
    <t>LN1046</t>
  </si>
  <si>
    <t>LN1047</t>
  </si>
  <si>
    <t>LN1048</t>
  </si>
  <si>
    <t>LN1049</t>
  </si>
  <si>
    <t>LN1050</t>
  </si>
  <si>
    <t>LN1051</t>
  </si>
  <si>
    <t>LN1052</t>
  </si>
  <si>
    <t>LN1053</t>
  </si>
  <si>
    <t>LN1054</t>
  </si>
  <si>
    <t>LN1055</t>
  </si>
  <si>
    <t>LN1056</t>
  </si>
  <si>
    <t>LN1057</t>
  </si>
  <si>
    <t>LN1058</t>
  </si>
  <si>
    <t>LN1059</t>
  </si>
  <si>
    <t>LN1060</t>
  </si>
  <si>
    <t>LN1061</t>
  </si>
  <si>
    <t>LN1062</t>
  </si>
  <si>
    <t>LN1063</t>
  </si>
  <si>
    <t>LN1064</t>
  </si>
  <si>
    <t>LN1065</t>
  </si>
  <si>
    <t>LN1066</t>
  </si>
  <si>
    <t>LN1067</t>
  </si>
  <si>
    <t>LN1068</t>
  </si>
  <si>
    <t>LN1069</t>
  </si>
  <si>
    <t>LN1070</t>
  </si>
  <si>
    <t>LN1071</t>
  </si>
  <si>
    <t>LN1072</t>
  </si>
  <si>
    <t>LN1073</t>
  </si>
  <si>
    <t>LN1074</t>
  </si>
  <si>
    <t>LN1075</t>
  </si>
  <si>
    <t>LN1076</t>
  </si>
  <si>
    <t>LN1077</t>
  </si>
  <si>
    <t>LN1078</t>
  </si>
  <si>
    <t>LN1079</t>
  </si>
  <si>
    <t>LN1080</t>
  </si>
  <si>
    <t>LN1081</t>
  </si>
  <si>
    <t>LN1082</t>
  </si>
  <si>
    <t>LN1083</t>
  </si>
  <si>
    <t>LN1084</t>
  </si>
  <si>
    <t>LN1085</t>
  </si>
  <si>
    <t>LN1086</t>
  </si>
  <si>
    <t>LN1087</t>
  </si>
  <si>
    <t>LN1088</t>
  </si>
  <si>
    <t>LN1089</t>
  </si>
  <si>
    <t>LN1090</t>
  </si>
  <si>
    <t>LN1091</t>
  </si>
  <si>
    <t>LN1092</t>
  </si>
  <si>
    <t>LN1093</t>
  </si>
  <si>
    <t>LN1094</t>
  </si>
  <si>
    <t>LN1095</t>
  </si>
  <si>
    <t>LN1096</t>
  </si>
  <si>
    <t>LN1097</t>
  </si>
  <si>
    <t>LN1098</t>
  </si>
  <si>
    <t>LN1099</t>
  </si>
  <si>
    <t>LN1100</t>
  </si>
  <si>
    <t>LN1101</t>
  </si>
  <si>
    <t>LN1102</t>
  </si>
  <si>
    <t>LN1103</t>
  </si>
  <si>
    <t>LN1104</t>
  </si>
  <si>
    <t>LN1105</t>
  </si>
  <si>
    <t>LN1106</t>
  </si>
  <si>
    <t>LN1107</t>
  </si>
  <si>
    <t>LN1108</t>
  </si>
  <si>
    <t>LN1109</t>
  </si>
  <si>
    <t>LN1110</t>
  </si>
  <si>
    <t>LN1111</t>
  </si>
  <si>
    <t>LN1112</t>
  </si>
  <si>
    <t>LN1113</t>
  </si>
  <si>
    <t>LN1114</t>
  </si>
  <si>
    <t>LN1115</t>
  </si>
  <si>
    <t>LN1116</t>
  </si>
  <si>
    <t>LN1117</t>
  </si>
  <si>
    <t>LN1118</t>
  </si>
  <si>
    <t>LN1119</t>
  </si>
  <si>
    <t>LN1120</t>
  </si>
  <si>
    <t>LN1121</t>
  </si>
  <si>
    <t>LN1122</t>
  </si>
  <si>
    <t>LN1123</t>
  </si>
  <si>
    <t>LN1124</t>
  </si>
  <si>
    <t>LN1125</t>
  </si>
  <si>
    <t>LN1126</t>
  </si>
  <si>
    <t>LN1127</t>
  </si>
  <si>
    <t>LN1128</t>
  </si>
  <si>
    <t>LN1129</t>
  </si>
  <si>
    <t>LN1130</t>
  </si>
  <si>
    <t>LN1131</t>
  </si>
  <si>
    <t>LN1132</t>
  </si>
  <si>
    <t>LN1133</t>
  </si>
  <si>
    <t>LN1134</t>
  </si>
  <si>
    <t>LN1135</t>
  </si>
  <si>
    <t>LN1136</t>
  </si>
  <si>
    <t>LN1137</t>
  </si>
  <si>
    <t>LN1138</t>
  </si>
  <si>
    <t>LN1139</t>
  </si>
  <si>
    <t>LN1140</t>
  </si>
  <si>
    <t>LN1141</t>
  </si>
  <si>
    <t>LN1142</t>
  </si>
  <si>
    <t>LN1143</t>
  </si>
  <si>
    <t>LN1144</t>
  </si>
  <si>
    <t>LN1145</t>
  </si>
  <si>
    <t>LN1146</t>
  </si>
  <si>
    <t>LN1147</t>
  </si>
  <si>
    <t>LN1148</t>
  </si>
  <si>
    <t>LN1149</t>
  </si>
  <si>
    <t>LN1150</t>
  </si>
  <si>
    <t>LN1151</t>
  </si>
  <si>
    <t>LN1152</t>
  </si>
  <si>
    <t>LN1153</t>
  </si>
  <si>
    <t>LN1154</t>
  </si>
  <si>
    <t>LN1155</t>
  </si>
  <si>
    <t>LN1156</t>
  </si>
  <si>
    <t>LN1157</t>
  </si>
  <si>
    <t>LN1158</t>
  </si>
  <si>
    <t>LN1159</t>
  </si>
  <si>
    <t>LN1160</t>
  </si>
  <si>
    <t>LN1161</t>
  </si>
  <si>
    <t>LN1162</t>
  </si>
  <si>
    <t>LN1163</t>
  </si>
  <si>
    <t>LN1164</t>
  </si>
  <si>
    <t>LN1165</t>
  </si>
  <si>
    <t>LN1166</t>
  </si>
  <si>
    <t>LN1167</t>
  </si>
  <si>
    <t>LN1168</t>
  </si>
  <si>
    <t>LN1169</t>
  </si>
  <si>
    <t>LN1170</t>
  </si>
  <si>
    <t>LN1171</t>
  </si>
  <si>
    <t>LN1172</t>
  </si>
  <si>
    <t>LN1173</t>
  </si>
  <si>
    <t>LN1174</t>
  </si>
  <si>
    <t>LN1175</t>
  </si>
  <si>
    <t>LN1176</t>
  </si>
  <si>
    <t>LN1177</t>
  </si>
  <si>
    <t>LN1178</t>
  </si>
  <si>
    <t>LN1179</t>
  </si>
  <si>
    <t>LN1180</t>
  </si>
  <si>
    <t>LN1181</t>
  </si>
  <si>
    <t>LN1182</t>
  </si>
  <si>
    <t>LN1183</t>
  </si>
  <si>
    <t>LN1184</t>
  </si>
  <si>
    <t>LN1185</t>
  </si>
  <si>
    <t>LN1186</t>
  </si>
  <si>
    <t>LN1187</t>
  </si>
  <si>
    <t>LN1188</t>
  </si>
  <si>
    <t>LN1189</t>
  </si>
  <si>
    <t>LN1190</t>
  </si>
  <si>
    <t>LN1191</t>
  </si>
  <si>
    <t>LN1192</t>
  </si>
  <si>
    <t>LN1193</t>
  </si>
  <si>
    <t>LN1194</t>
  </si>
  <si>
    <t>LN1195</t>
  </si>
  <si>
    <t>LN1196</t>
  </si>
  <si>
    <t>LN1197</t>
  </si>
  <si>
    <t>LN1198</t>
  </si>
  <si>
    <t>LN1199</t>
  </si>
  <si>
    <t>Mrs. Sunita Verma</t>
  </si>
  <si>
    <t>Mr. Raj Kumar Bauri</t>
  </si>
  <si>
    <t>Mr.Krishna Kant Verma</t>
  </si>
  <si>
    <t>Mr. Akash Singh</t>
  </si>
  <si>
    <t>Mrs. Aditi Singh Rajput</t>
  </si>
  <si>
    <t>Mrs. Priya Verma</t>
  </si>
  <si>
    <t>Mr. Parmanand Pradhan</t>
  </si>
  <si>
    <t>Mr. Lalit Singh Chandra</t>
  </si>
  <si>
    <t>Mr. Sonu Singh</t>
  </si>
  <si>
    <t>Mr.Ankit Yadav</t>
  </si>
  <si>
    <t>Mrs.Nandani Yadav</t>
  </si>
  <si>
    <t>Mr. Sandeep Singh</t>
  </si>
  <si>
    <t>Mrs. Aastha Kumari</t>
  </si>
  <si>
    <t>Mrs. Bindi Satpathy</t>
  </si>
  <si>
    <t>Mrs. Riya Kumari</t>
  </si>
  <si>
    <t>Mrs. Moumita Shekhar</t>
  </si>
  <si>
    <t>Mr.Piyush Satphty</t>
  </si>
  <si>
    <t>Mrs. Shivnandani Singh</t>
  </si>
  <si>
    <t>Mrs. Neha Kumari</t>
  </si>
  <si>
    <t>Mr. Anurag Khanna</t>
  </si>
  <si>
    <t>Mr.Nandalal satpathy</t>
  </si>
  <si>
    <t>Mr. Arjun Sharma</t>
  </si>
  <si>
    <t>Dr. Rohan Verma</t>
  </si>
  <si>
    <t>Prof. Siddharth Iyer</t>
  </si>
  <si>
    <t>Mr. Vikram Patel</t>
  </si>
  <si>
    <t>Ms. Priya Singh</t>
  </si>
  <si>
    <t>Mrs. Anjali Mehta</t>
  </si>
  <si>
    <t>Mr. Aditya Joshi</t>
  </si>
  <si>
    <t>Mr. Rahul Banerjee</t>
  </si>
  <si>
    <t>Mr. Manish Rao</t>
  </si>
  <si>
    <t>Dr. Aarohi Gupta</t>
  </si>
  <si>
    <t>Dr. Ishaan Khanna</t>
  </si>
  <si>
    <t>Ms. Aanya Kapoor</t>
  </si>
  <si>
    <t>Mr. Rudra Kapoor</t>
  </si>
  <si>
    <t>Mr. Yash Mehta</t>
  </si>
  <si>
    <t>Mr. Aarav Mehta</t>
  </si>
  <si>
    <t>Ms. Kiara Bansal</t>
  </si>
  <si>
    <t>Mr. Kiarav Bansal</t>
  </si>
  <si>
    <t>Mr. Vihaan Rajput</t>
  </si>
  <si>
    <t>Mr. Virat Thapaa</t>
  </si>
  <si>
    <t>Mr. Shubhum Shetty</t>
  </si>
  <si>
    <t>Ms. Myra Shah</t>
  </si>
  <si>
    <t>Ms. koli Malhotra</t>
  </si>
  <si>
    <t>Mr. Shivay Kapoor</t>
  </si>
  <si>
    <t>Ms. Ira Choudhary</t>
  </si>
  <si>
    <t>Ms. Ishika Choudhary</t>
  </si>
  <si>
    <t>Mr. Adhina Suri</t>
  </si>
  <si>
    <t>Mr. Advik Suri</t>
  </si>
  <si>
    <t>Ms. Aadhya Nair</t>
  </si>
  <si>
    <t>Ms. Aarya Kohli</t>
  </si>
  <si>
    <t>Mr. Atharv Deshmukh</t>
  </si>
  <si>
    <t>Mr. Aarya Deshmukh</t>
  </si>
  <si>
    <t>Ms. Myank Reddy</t>
  </si>
  <si>
    <t>Ms. Shanaya Reddy</t>
  </si>
  <si>
    <t>Ms. Arisha Kapoor</t>
  </si>
  <si>
    <t>Mr. Arjun Khurana</t>
  </si>
  <si>
    <t>Ms. Samaira Wadhwa</t>
  </si>
  <si>
    <t>Mr. Harteer Singh</t>
  </si>
  <si>
    <t>Mr. Devansh Kamat</t>
  </si>
  <si>
    <t>Mr. Zohair Khan</t>
  </si>
  <si>
    <t>Ms. Rhea Varma</t>
  </si>
  <si>
    <t>Mr. Reyon Das</t>
  </si>
  <si>
    <t>Mr. Krish Oberoi</t>
  </si>
  <si>
    <t>Ms. Alisha Nambiar</t>
  </si>
  <si>
    <t>Ms. Tanishka Sengar</t>
  </si>
  <si>
    <t>Ms. Arisa Kamat</t>
  </si>
  <si>
    <t>Mr. Shivani Shetty</t>
  </si>
  <si>
    <t>Ms. Nyra Mathew</t>
  </si>
  <si>
    <t>Ms. Anaya Pillai</t>
  </si>
  <si>
    <t>Ms. Amaira Thomas</t>
  </si>
  <si>
    <t>Ms. Vina Thomas</t>
  </si>
  <si>
    <t>Mr. Kabir Grover</t>
  </si>
  <si>
    <t>Ms. Mira Fernandes</t>
  </si>
  <si>
    <t>Mr. Ayan D’Souza</t>
  </si>
  <si>
    <t>Ms. Siya Ahluwalia</t>
  </si>
  <si>
    <t>Ms. Eva Shastri</t>
  </si>
  <si>
    <t>Mr. Eshan Khandelwal</t>
  </si>
  <si>
    <t>Mr. Raj Khandelwal</t>
  </si>
  <si>
    <t>Mr. Gurav Khandelwal</t>
  </si>
  <si>
    <t>Mr. Kirav Khandelwal</t>
  </si>
  <si>
    <t>Mr. Zayan Ansari</t>
  </si>
  <si>
    <t>Ms. Avika Kulkarni</t>
  </si>
  <si>
    <t>Mr. Dhruv Patil</t>
  </si>
  <si>
    <t>Mr. Aarush Gill</t>
  </si>
  <si>
    <t>Ms. shivya Mathew</t>
  </si>
  <si>
    <t>Ms. Riya Ahluwalia</t>
  </si>
  <si>
    <t>Ms. Nandani Shastri</t>
  </si>
  <si>
    <t>Mr. Arin Khanna</t>
  </si>
  <si>
    <t>Ms. Nivika Mehra</t>
  </si>
  <si>
    <t>Ms. Nayra Jaiswal</t>
  </si>
  <si>
    <t>Mr. Vihaan Chatterjee</t>
  </si>
  <si>
    <t>Ms. Alina Sood</t>
  </si>
  <si>
    <t>Ms. Zara Uppal</t>
  </si>
  <si>
    <t>Ms. Kunal Rane</t>
  </si>
  <si>
    <t>Ms. Liyana Jain</t>
  </si>
  <si>
    <t>Mr. Rey Mathews</t>
  </si>
  <si>
    <t>Mr. Praam Mathews</t>
  </si>
  <si>
    <t>Mr. Zayden Paul</t>
  </si>
  <si>
    <t>Mr. Yug Saxena</t>
  </si>
  <si>
    <t>Ms. Trisha Nanda</t>
  </si>
  <si>
    <t>Ms. Kiasha Rathi</t>
  </si>
  <si>
    <t>Mr. Reyaanshi Bakshi</t>
  </si>
  <si>
    <t>Mr. Darsh Malani</t>
  </si>
  <si>
    <t>Ms. Iraani Shah</t>
  </si>
  <si>
    <t>Ms.Aditi Sharma</t>
  </si>
  <si>
    <t>Mr. Ronita Chopra</t>
  </si>
  <si>
    <t>Mr. Ishaan Vora</t>
  </si>
  <si>
    <t>Ms. Ruhi Bajaj</t>
  </si>
  <si>
    <t>Mr. Arnav Banerjee</t>
  </si>
  <si>
    <t>Mr. Arnav Dhillon</t>
  </si>
  <si>
    <t>Mr. Vivaan Sawant</t>
  </si>
  <si>
    <t>Mr.Zain khan</t>
  </si>
  <si>
    <t>Mr. Veer khan</t>
  </si>
  <si>
    <t>Mr. Reyom Srivastava</t>
  </si>
  <si>
    <t>Mr. Jain Srivastava</t>
  </si>
  <si>
    <t>Mr. Rajveer Srivastava</t>
  </si>
  <si>
    <t>Mr. Abeer Bhatia</t>
  </si>
  <si>
    <t>Mr. Kiaan Oberoi</t>
  </si>
  <si>
    <t>Ms. Mishika Raheja</t>
  </si>
  <si>
    <t>Ms. Naisha Khatri</t>
  </si>
  <si>
    <t>Ms. Kiara Ghosh</t>
  </si>
  <si>
    <t>Mr. Arvyn Gill</t>
  </si>
  <si>
    <t>Ms. Vrinda Subramanian</t>
  </si>
  <si>
    <t>Ms. Ziva Fernandes</t>
  </si>
  <si>
    <t>Mr. Reyad Pillai</t>
  </si>
  <si>
    <t>Mr. Aariz Malik</t>
  </si>
  <si>
    <t>Ms. Aaira Jain</t>
  </si>
  <si>
    <t>Ms. Kyra Dutt</t>
  </si>
  <si>
    <t>Mr. Eshar Verma</t>
  </si>
  <si>
    <t>Mr. Arman Bhasin</t>
  </si>
  <si>
    <t>Ms. Inaaya Grover</t>
  </si>
  <si>
    <t>Mr. Shaan Narula</t>
  </si>
  <si>
    <t>Mr. Zavian Shah</t>
  </si>
  <si>
    <t>Ms. Riyaa Menon</t>
  </si>
  <si>
    <t>Mr. Reyath Singh</t>
  </si>
  <si>
    <t>Ms. Amaaya Prasad</t>
  </si>
  <si>
    <t>Mr. Aarit Khurana</t>
  </si>
  <si>
    <t>Ms. Nysha Sethi</t>
  </si>
  <si>
    <t>Mr. Jaiyant Reddy</t>
  </si>
  <si>
    <t>Ms. Sanaya Malhotra</t>
  </si>
  <si>
    <t>Ms. Zara Chhabra</t>
  </si>
  <si>
    <t>Ms. Aavya Patel</t>
  </si>
  <si>
    <t>Mr. Reyan Gupta</t>
  </si>
  <si>
    <t>Ms. Aasmi Sudevan</t>
  </si>
  <si>
    <t>Ms. Keya Bhatia</t>
  </si>
  <si>
    <t>Mr. Kyron Iyer</t>
  </si>
  <si>
    <t>Mr. Krivaan Sen</t>
  </si>
  <si>
    <t>Ms. Nayasa Sood</t>
  </si>
  <si>
    <t>Ms. Alisha Varghese</t>
  </si>
  <si>
    <t>Ms. Amairah Kaur</t>
  </si>
  <si>
    <t>Ms. Shanvi Joseph</t>
  </si>
  <si>
    <t>Mr. Arush Tandon</t>
  </si>
  <si>
    <t>Ms. Navika Lobo</t>
  </si>
  <si>
    <t>Ms. Inaara Shah</t>
  </si>
  <si>
    <t>Ms. Aavika Chopra</t>
  </si>
  <si>
    <t>Ms. Mahira Fernandes</t>
  </si>
  <si>
    <t>Ms. Tia Borkar</t>
  </si>
  <si>
    <t>Mr. Reyaaj Solkar</t>
  </si>
  <si>
    <t>Ms. Elora Singh</t>
  </si>
  <si>
    <t>Ms. Ayanna Pillai</t>
  </si>
  <si>
    <t>Mr. Kairav Kapoor</t>
  </si>
  <si>
    <t>Mr. Reyanth Rane</t>
  </si>
  <si>
    <t>Ms. Ishanvi Kumar</t>
  </si>
  <si>
    <t>Ms. Ahana D’Souza</t>
  </si>
  <si>
    <t>Ms. Kiara Madhavan</t>
  </si>
  <si>
    <t>Ms. Zaara Pereira</t>
  </si>
  <si>
    <t>Ms. Arinaya Gidwani</t>
  </si>
  <si>
    <t>Mr. Kian Rodrigues</t>
  </si>
  <si>
    <t>Mr. Amaad Gupta</t>
  </si>
  <si>
    <t>Ms. Elisha Patil</t>
  </si>
  <si>
    <t>Mr. Ronav Singh</t>
  </si>
  <si>
    <t>Mr. Yuvaan Sanghvi</t>
  </si>
  <si>
    <t>Ms. Alvira Shah</t>
  </si>
  <si>
    <t>Ms. Zaina Verma</t>
  </si>
  <si>
    <t>Mr. Reyon Kohli</t>
  </si>
  <si>
    <t>Mr. Hridayan Raj</t>
  </si>
  <si>
    <t>Mr. Athvik Nair</t>
  </si>
  <si>
    <t>Mr. Aarish Iqbal</t>
  </si>
  <si>
    <t>Ms. Miraya Shah</t>
  </si>
  <si>
    <t>Female</t>
  </si>
  <si>
    <t>Male</t>
  </si>
  <si>
    <t>Unemployed</t>
  </si>
  <si>
    <t>Salaried</t>
  </si>
  <si>
    <t>Self-Employed</t>
  </si>
  <si>
    <t>Home Loan</t>
  </si>
  <si>
    <t>Business Loan</t>
  </si>
  <si>
    <t>Personal Loan</t>
  </si>
  <si>
    <t>Education Loan</t>
  </si>
  <si>
    <t>Car Loan</t>
  </si>
  <si>
    <t>Approved</t>
  </si>
  <si>
    <t>Pending</t>
  </si>
  <si>
    <t>Rejected</t>
  </si>
  <si>
    <t>LN1200</t>
  </si>
  <si>
    <t>LN1201</t>
  </si>
  <si>
    <t>LN1202</t>
  </si>
  <si>
    <t>LN1203</t>
  </si>
  <si>
    <t>LN1204</t>
  </si>
  <si>
    <t>LN1205</t>
  </si>
  <si>
    <t>LN1206</t>
  </si>
  <si>
    <t>LN1207</t>
  </si>
  <si>
    <t>LN1208</t>
  </si>
  <si>
    <t>LN1209</t>
  </si>
  <si>
    <t>LN1210</t>
  </si>
  <si>
    <t>LN1211</t>
  </si>
  <si>
    <t>LN1212</t>
  </si>
  <si>
    <t>LN1213</t>
  </si>
  <si>
    <t>LN1214</t>
  </si>
  <si>
    <t>LN1215</t>
  </si>
  <si>
    <t>LN1216</t>
  </si>
  <si>
    <t>LN1217</t>
  </si>
  <si>
    <t>LN1218</t>
  </si>
  <si>
    <t>LN1219</t>
  </si>
  <si>
    <t>LN1220</t>
  </si>
  <si>
    <t>LN1221</t>
  </si>
  <si>
    <t>LN1222</t>
  </si>
  <si>
    <t>LN1223</t>
  </si>
  <si>
    <t>LN1224</t>
  </si>
  <si>
    <t>LN1225</t>
  </si>
  <si>
    <t>LN1226</t>
  </si>
  <si>
    <t>LN1227</t>
  </si>
  <si>
    <t>LN1228</t>
  </si>
  <si>
    <t>LN1229</t>
  </si>
  <si>
    <t>LN1230</t>
  </si>
  <si>
    <t>LN1231</t>
  </si>
  <si>
    <t>LN1232</t>
  </si>
  <si>
    <t>LN1233</t>
  </si>
  <si>
    <t>LN1234</t>
  </si>
  <si>
    <t>LN1235</t>
  </si>
  <si>
    <t>LN1236</t>
  </si>
  <si>
    <t>LN1237</t>
  </si>
  <si>
    <t>LN1238</t>
  </si>
  <si>
    <t>LN1239</t>
  </si>
  <si>
    <t>LN1240</t>
  </si>
  <si>
    <t>LN1241</t>
  </si>
  <si>
    <t>LN1242</t>
  </si>
  <si>
    <t>LN1243</t>
  </si>
  <si>
    <t>LN1244</t>
  </si>
  <si>
    <t>LN1245</t>
  </si>
  <si>
    <t>LN1246</t>
  </si>
  <si>
    <t>LN1247</t>
  </si>
  <si>
    <t>LN1248</t>
  </si>
  <si>
    <t>LN1249</t>
  </si>
  <si>
    <t>LN1250</t>
  </si>
  <si>
    <t>LN1251</t>
  </si>
  <si>
    <t>LN1252</t>
  </si>
  <si>
    <t>LN1253</t>
  </si>
  <si>
    <t>LN1254</t>
  </si>
  <si>
    <t>LN1255</t>
  </si>
  <si>
    <t>LN1256</t>
  </si>
  <si>
    <t>LN1257</t>
  </si>
  <si>
    <t>LN1258</t>
  </si>
  <si>
    <t>LN1259</t>
  </si>
  <si>
    <t>LN1260</t>
  </si>
  <si>
    <t>LN1261</t>
  </si>
  <si>
    <t>LN1262</t>
  </si>
  <si>
    <t>LN1263</t>
  </si>
  <si>
    <t>LN1264</t>
  </si>
  <si>
    <t>LN1265</t>
  </si>
  <si>
    <t>LN1266</t>
  </si>
  <si>
    <t>LN1267</t>
  </si>
  <si>
    <t>LN1268</t>
  </si>
  <si>
    <t>LN1269</t>
  </si>
  <si>
    <t>LN1270</t>
  </si>
  <si>
    <t>LN1271</t>
  </si>
  <si>
    <t>LN1272</t>
  </si>
  <si>
    <t>LN1273</t>
  </si>
  <si>
    <t>LN1274</t>
  </si>
  <si>
    <t>LN1275</t>
  </si>
  <si>
    <t>LN1276</t>
  </si>
  <si>
    <t>LN1277</t>
  </si>
  <si>
    <t>LN1278</t>
  </si>
  <si>
    <t>LN1279</t>
  </si>
  <si>
    <t>LN1280</t>
  </si>
  <si>
    <t>LN1281</t>
  </si>
  <si>
    <t>LN1282</t>
  </si>
  <si>
    <t>LN1283</t>
  </si>
  <si>
    <t>LN1284</t>
  </si>
  <si>
    <t>LN1285</t>
  </si>
  <si>
    <t>LN1286</t>
  </si>
  <si>
    <t>LN1287</t>
  </si>
  <si>
    <t>LN1288</t>
  </si>
  <si>
    <t>LN1289</t>
  </si>
  <si>
    <t>LN1290</t>
  </si>
  <si>
    <t>LN1291</t>
  </si>
  <si>
    <t>LN1292</t>
  </si>
  <si>
    <t>LN1293</t>
  </si>
  <si>
    <t>LN1294</t>
  </si>
  <si>
    <t>LN1295</t>
  </si>
  <si>
    <t>LN1296</t>
  </si>
  <si>
    <t>LN1297</t>
  </si>
  <si>
    <t>LN1298</t>
  </si>
  <si>
    <t>LN1299</t>
  </si>
  <si>
    <t>LN1300</t>
  </si>
  <si>
    <t>LN1301</t>
  </si>
  <si>
    <t>LN1302</t>
  </si>
  <si>
    <t>LN1303</t>
  </si>
  <si>
    <t>LN1304</t>
  </si>
  <si>
    <t>LN1305</t>
  </si>
  <si>
    <t>LN1306</t>
  </si>
  <si>
    <t>LN1307</t>
  </si>
  <si>
    <t>LN1308</t>
  </si>
  <si>
    <t>LN1309</t>
  </si>
  <si>
    <t>LN1310</t>
  </si>
  <si>
    <t>LN1311</t>
  </si>
  <si>
    <t>LN1312</t>
  </si>
  <si>
    <t>LN1313</t>
  </si>
  <si>
    <t>LN1314</t>
  </si>
  <si>
    <t>LN1315</t>
  </si>
  <si>
    <t>LN1316</t>
  </si>
  <si>
    <t>LN1317</t>
  </si>
  <si>
    <t>LN1318</t>
  </si>
  <si>
    <t>LN1319</t>
  </si>
  <si>
    <t>LN1320</t>
  </si>
  <si>
    <t>LN1321</t>
  </si>
  <si>
    <t>LN1322</t>
  </si>
  <si>
    <t>LN1323</t>
  </si>
  <si>
    <t>LN1324</t>
  </si>
  <si>
    <t>LN1325</t>
  </si>
  <si>
    <t>LN1326</t>
  </si>
  <si>
    <t>LN1327</t>
  </si>
  <si>
    <t>LN1328</t>
  </si>
  <si>
    <t>LN1329</t>
  </si>
  <si>
    <t>LN1330</t>
  </si>
  <si>
    <t>LN1331</t>
  </si>
  <si>
    <t>LN1332</t>
  </si>
  <si>
    <t>LN1333</t>
  </si>
  <si>
    <t>LN1334</t>
  </si>
  <si>
    <t>LN1335</t>
  </si>
  <si>
    <t>LN1336</t>
  </si>
  <si>
    <t>LN1337</t>
  </si>
  <si>
    <t>LN1338</t>
  </si>
  <si>
    <t>LN1339</t>
  </si>
  <si>
    <t>LN1340</t>
  </si>
  <si>
    <t>LN1341</t>
  </si>
  <si>
    <t>LN1342</t>
  </si>
  <si>
    <t>LN1343</t>
  </si>
  <si>
    <t>LN1344</t>
  </si>
  <si>
    <t>LN1345</t>
  </si>
  <si>
    <t>LN1346</t>
  </si>
  <si>
    <t>LN1347</t>
  </si>
  <si>
    <t>LN1348</t>
  </si>
  <si>
    <t>LN1349</t>
  </si>
  <si>
    <t>LN1350</t>
  </si>
  <si>
    <t>LN1351</t>
  </si>
  <si>
    <t>LN1352</t>
  </si>
  <si>
    <t>LN1353</t>
  </si>
  <si>
    <t>LN1354</t>
  </si>
  <si>
    <t>LN1355</t>
  </si>
  <si>
    <t>LN1356</t>
  </si>
  <si>
    <t>LN1357</t>
  </si>
  <si>
    <t>LN1358</t>
  </si>
  <si>
    <t>LN1359</t>
  </si>
  <si>
    <t>LN1360</t>
  </si>
  <si>
    <t>LN1361</t>
  </si>
  <si>
    <t>LN1362</t>
  </si>
  <si>
    <t>LN1363</t>
  </si>
  <si>
    <t>LN1364</t>
  </si>
  <si>
    <t>LN1365</t>
  </si>
  <si>
    <t>LN1366</t>
  </si>
  <si>
    <t>LN1367</t>
  </si>
  <si>
    <t>LN1368</t>
  </si>
  <si>
    <t>LN1369</t>
  </si>
  <si>
    <t>LN1370</t>
  </si>
  <si>
    <t>LN1371</t>
  </si>
  <si>
    <t>LN1372</t>
  </si>
  <si>
    <t>LN1373</t>
  </si>
  <si>
    <t>LN1374</t>
  </si>
  <si>
    <t>LN1375</t>
  </si>
  <si>
    <t>LN1376</t>
  </si>
  <si>
    <t>LN1377</t>
  </si>
  <si>
    <t>LN1378</t>
  </si>
  <si>
    <t>LN1379</t>
  </si>
  <si>
    <t>LN1380</t>
  </si>
  <si>
    <t>LN1381</t>
  </si>
  <si>
    <t>LN1382</t>
  </si>
  <si>
    <t>LN1383</t>
  </si>
  <si>
    <t>LN1384</t>
  </si>
  <si>
    <t>LN1385</t>
  </si>
  <si>
    <t>LN1386</t>
  </si>
  <si>
    <t>LN1387</t>
  </si>
  <si>
    <t>LN1388</t>
  </si>
  <si>
    <t>LN1389</t>
  </si>
  <si>
    <t>LN1390</t>
  </si>
  <si>
    <t>LN1391</t>
  </si>
  <si>
    <t>LN1392</t>
  </si>
  <si>
    <t>LN1393</t>
  </si>
  <si>
    <t>LN1394</t>
  </si>
  <si>
    <t>LN1395</t>
  </si>
  <si>
    <t>LN1396</t>
  </si>
  <si>
    <t>LN1397</t>
  </si>
  <si>
    <t>LN1398</t>
  </si>
  <si>
    <t>LN1399</t>
  </si>
  <si>
    <t>LN1400</t>
  </si>
  <si>
    <t>LN1401</t>
  </si>
  <si>
    <t>LN1402</t>
  </si>
  <si>
    <t>LN1403</t>
  </si>
  <si>
    <t>LN1404</t>
  </si>
  <si>
    <t>LN1405</t>
  </si>
  <si>
    <t>LN1406</t>
  </si>
  <si>
    <t>LN1407</t>
  </si>
  <si>
    <t>LN1408</t>
  </si>
  <si>
    <t>LN1409</t>
  </si>
  <si>
    <t>LN1410</t>
  </si>
  <si>
    <t>LN1411</t>
  </si>
  <si>
    <t>LN1412</t>
  </si>
  <si>
    <t>LN1413</t>
  </si>
  <si>
    <t>LN1414</t>
  </si>
  <si>
    <t>LN1415</t>
  </si>
  <si>
    <t>LN1416</t>
  </si>
  <si>
    <t>LN1417</t>
  </si>
  <si>
    <t>LN1418</t>
  </si>
  <si>
    <t>LN1419</t>
  </si>
  <si>
    <t>LN1420</t>
  </si>
  <si>
    <t>LN1421</t>
  </si>
  <si>
    <t>LN1422</t>
  </si>
  <si>
    <t>LN1423</t>
  </si>
  <si>
    <t>LN1424</t>
  </si>
  <si>
    <t>LN1425</t>
  </si>
  <si>
    <t>LN1426</t>
  </si>
  <si>
    <t>LN1427</t>
  </si>
  <si>
    <t>LN1428</t>
  </si>
  <si>
    <t>LN1429</t>
  </si>
  <si>
    <t>LN1430</t>
  </si>
  <si>
    <t>LN1431</t>
  </si>
  <si>
    <t>LN1432</t>
  </si>
  <si>
    <t>LN1433</t>
  </si>
  <si>
    <t>LN1434</t>
  </si>
  <si>
    <t>LN1435</t>
  </si>
  <si>
    <t>LN1436</t>
  </si>
  <si>
    <t>LN1437</t>
  </si>
  <si>
    <t>LN1438</t>
  </si>
  <si>
    <t>LN1439</t>
  </si>
  <si>
    <t>LN1440</t>
  </si>
  <si>
    <t>LN1441</t>
  </si>
  <si>
    <t>LN1442</t>
  </si>
  <si>
    <t>LN1443</t>
  </si>
  <si>
    <t>LN1444</t>
  </si>
  <si>
    <t>LN1445</t>
  </si>
  <si>
    <t>LN1446</t>
  </si>
  <si>
    <t>LN1447</t>
  </si>
  <si>
    <t>LN1448</t>
  </si>
  <si>
    <t>LN1449</t>
  </si>
  <si>
    <t>LN1450</t>
  </si>
  <si>
    <t>LN1451</t>
  </si>
  <si>
    <t>LN1452</t>
  </si>
  <si>
    <t>LN1453</t>
  </si>
  <si>
    <t>LN1454</t>
  </si>
  <si>
    <t>LN1455</t>
  </si>
  <si>
    <t>LN1456</t>
  </si>
  <si>
    <t>LN1457</t>
  </si>
  <si>
    <t>LN1458</t>
  </si>
  <si>
    <t>LN1459</t>
  </si>
  <si>
    <t>LN1460</t>
  </si>
  <si>
    <t>LN1461</t>
  </si>
  <si>
    <t>LN1462</t>
  </si>
  <si>
    <t>LN1463</t>
  </si>
  <si>
    <t>LN1464</t>
  </si>
  <si>
    <t>LN1465</t>
  </si>
  <si>
    <t>LN1466</t>
  </si>
  <si>
    <t>LN1467</t>
  </si>
  <si>
    <t>LN1468</t>
  </si>
  <si>
    <t>LN1469</t>
  </si>
  <si>
    <t>LN1470</t>
  </si>
  <si>
    <t>LN1471</t>
  </si>
  <si>
    <t>LN1472</t>
  </si>
  <si>
    <t>LN1473</t>
  </si>
  <si>
    <t>LN1474</t>
  </si>
  <si>
    <t>LN1475</t>
  </si>
  <si>
    <t>LN1476</t>
  </si>
  <si>
    <t>LN1477</t>
  </si>
  <si>
    <t>LN1478</t>
  </si>
  <si>
    <t>LN1479</t>
  </si>
  <si>
    <t>LN1480</t>
  </si>
  <si>
    <t>LN1481</t>
  </si>
  <si>
    <t>LN1482</t>
  </si>
  <si>
    <t>LN1483</t>
  </si>
  <si>
    <t>LN1484</t>
  </si>
  <si>
    <t>LN1485</t>
  </si>
  <si>
    <t>LN1486</t>
  </si>
  <si>
    <t>LN1487</t>
  </si>
  <si>
    <t>LN1488</t>
  </si>
  <si>
    <t>LN1489</t>
  </si>
  <si>
    <t>LN1490</t>
  </si>
  <si>
    <t>LN1491</t>
  </si>
  <si>
    <t>LN1492</t>
  </si>
  <si>
    <t>LN1493</t>
  </si>
  <si>
    <t>LN1494</t>
  </si>
  <si>
    <t>LN1495</t>
  </si>
  <si>
    <t>LN1496</t>
  </si>
  <si>
    <t>LN1497</t>
  </si>
  <si>
    <t>LN1498</t>
  </si>
  <si>
    <t>LN1499</t>
  </si>
  <si>
    <t>LN1500</t>
  </si>
  <si>
    <t>LN1501</t>
  </si>
  <si>
    <t>LN1502</t>
  </si>
  <si>
    <t>LN1503</t>
  </si>
  <si>
    <t>LN1504</t>
  </si>
  <si>
    <t>LN1505</t>
  </si>
  <si>
    <t>LN1506</t>
  </si>
  <si>
    <t>LN1507</t>
  </si>
  <si>
    <t>LN1508</t>
  </si>
  <si>
    <t>LN1509</t>
  </si>
  <si>
    <t>LN1510</t>
  </si>
  <si>
    <t>LN1511</t>
  </si>
  <si>
    <t>LN1512</t>
  </si>
  <si>
    <t>LN1513</t>
  </si>
  <si>
    <t>LN1514</t>
  </si>
  <si>
    <t>LN1515</t>
  </si>
  <si>
    <t>LN1516</t>
  </si>
  <si>
    <t>LN1517</t>
  </si>
  <si>
    <t>LN1518</t>
  </si>
  <si>
    <t>LN1519</t>
  </si>
  <si>
    <t>LN1520</t>
  </si>
  <si>
    <t>LN1521</t>
  </si>
  <si>
    <t>LN1522</t>
  </si>
  <si>
    <t>LN1523</t>
  </si>
  <si>
    <t>LN1524</t>
  </si>
  <si>
    <t>LN1525</t>
  </si>
  <si>
    <t>LN1526</t>
  </si>
  <si>
    <t>LN1527</t>
  </si>
  <si>
    <t>LN1528</t>
  </si>
  <si>
    <t>LN1529</t>
  </si>
  <si>
    <t>LN1530</t>
  </si>
  <si>
    <t>LN1531</t>
  </si>
  <si>
    <t>LN1532</t>
  </si>
  <si>
    <t>LN1533</t>
  </si>
  <si>
    <t>LN1534</t>
  </si>
  <si>
    <t>LN1535</t>
  </si>
  <si>
    <t>LN1536</t>
  </si>
  <si>
    <t>LN1537</t>
  </si>
  <si>
    <t>LN1538</t>
  </si>
  <si>
    <t>LN1539</t>
  </si>
  <si>
    <t>LN1540</t>
  </si>
  <si>
    <t>LN1541</t>
  </si>
  <si>
    <t>LN1542</t>
  </si>
  <si>
    <t>LN1543</t>
  </si>
  <si>
    <t>LN1544</t>
  </si>
  <si>
    <t>LN1545</t>
  </si>
  <si>
    <t>LN1546</t>
  </si>
  <si>
    <t>LN1547</t>
  </si>
  <si>
    <t>LN1548</t>
  </si>
  <si>
    <t>LN1549</t>
  </si>
  <si>
    <t>LN1550</t>
  </si>
  <si>
    <t>LN1551</t>
  </si>
  <si>
    <t>LN1552</t>
  </si>
  <si>
    <t>LN1553</t>
  </si>
  <si>
    <t>LN1554</t>
  </si>
  <si>
    <t>LN1555</t>
  </si>
  <si>
    <t>LN1556</t>
  </si>
  <si>
    <t>LN1557</t>
  </si>
  <si>
    <t>LN1558</t>
  </si>
  <si>
    <t>LN1559</t>
  </si>
  <si>
    <t>LN1560</t>
  </si>
  <si>
    <t>LN1561</t>
  </si>
  <si>
    <t>LN1562</t>
  </si>
  <si>
    <t>LN1563</t>
  </si>
  <si>
    <t>LN1564</t>
  </si>
  <si>
    <t>LN1565</t>
  </si>
  <si>
    <t>LN1566</t>
  </si>
  <si>
    <t>LN1567</t>
  </si>
  <si>
    <t>LN1568</t>
  </si>
  <si>
    <t>LN1569</t>
  </si>
  <si>
    <t>LN1570</t>
  </si>
  <si>
    <t>LN1571</t>
  </si>
  <si>
    <t>LN1572</t>
  </si>
  <si>
    <t>LN1573</t>
  </si>
  <si>
    <t>LN1574</t>
  </si>
  <si>
    <t>LN1575</t>
  </si>
  <si>
    <t>LN1576</t>
  </si>
  <si>
    <t>LN1577</t>
  </si>
  <si>
    <t>LN1578</t>
  </si>
  <si>
    <t>LN1579</t>
  </si>
  <si>
    <t>LN1580</t>
  </si>
  <si>
    <t>LN1581</t>
  </si>
  <si>
    <t>LN1582</t>
  </si>
  <si>
    <t>LN1583</t>
  </si>
  <si>
    <t>LN1584</t>
  </si>
  <si>
    <t>LN1585</t>
  </si>
  <si>
    <t>LN1586</t>
  </si>
  <si>
    <t>LN1587</t>
  </si>
  <si>
    <t>LN1588</t>
  </si>
  <si>
    <t>LN1589</t>
  </si>
  <si>
    <t>LN1590</t>
  </si>
  <si>
    <t>LN1591</t>
  </si>
  <si>
    <t>LN1592</t>
  </si>
  <si>
    <t>LN1593</t>
  </si>
  <si>
    <t>LN1594</t>
  </si>
  <si>
    <t>LN1595</t>
  </si>
  <si>
    <t>LN1596</t>
  </si>
  <si>
    <t>LN1597</t>
  </si>
  <si>
    <t>LN1598</t>
  </si>
  <si>
    <t>LN1599</t>
  </si>
  <si>
    <t>LN1600</t>
  </si>
  <si>
    <t>LN1601</t>
  </si>
  <si>
    <t>LN1602</t>
  </si>
  <si>
    <t>LN1603</t>
  </si>
  <si>
    <t>LN1604</t>
  </si>
  <si>
    <t>LN1605</t>
  </si>
  <si>
    <t>LN1606</t>
  </si>
  <si>
    <t>LN1607</t>
  </si>
  <si>
    <t>LN1608</t>
  </si>
  <si>
    <t>LN1609</t>
  </si>
  <si>
    <t>LN1610</t>
  </si>
  <si>
    <t>LN1611</t>
  </si>
  <si>
    <t>LN1612</t>
  </si>
  <si>
    <t>LN1613</t>
  </si>
  <si>
    <t>LN1614</t>
  </si>
  <si>
    <t>LN1615</t>
  </si>
  <si>
    <t>LN1616</t>
  </si>
  <si>
    <t>LN1617</t>
  </si>
  <si>
    <t>LN1618</t>
  </si>
  <si>
    <t>LN1619</t>
  </si>
  <si>
    <t>LN1620</t>
  </si>
  <si>
    <t>LN1621</t>
  </si>
  <si>
    <t>LN1622</t>
  </si>
  <si>
    <t>LN1623</t>
  </si>
  <si>
    <t>LN1624</t>
  </si>
  <si>
    <t>LN1625</t>
  </si>
  <si>
    <t>LN1626</t>
  </si>
  <si>
    <t>LN1627</t>
  </si>
  <si>
    <t>LN1628</t>
  </si>
  <si>
    <t>LN1629</t>
  </si>
  <si>
    <t>LN1630</t>
  </si>
  <si>
    <t>LN1631</t>
  </si>
  <si>
    <t>LN1632</t>
  </si>
  <si>
    <t>LN1633</t>
  </si>
  <si>
    <t>LN1634</t>
  </si>
  <si>
    <t>LN1635</t>
  </si>
  <si>
    <t>LN1636</t>
  </si>
  <si>
    <t>LN1637</t>
  </si>
  <si>
    <t>LN1638</t>
  </si>
  <si>
    <t>LN1639</t>
  </si>
  <si>
    <t>LN1640</t>
  </si>
  <si>
    <t>LN1641</t>
  </si>
  <si>
    <t>LN1642</t>
  </si>
  <si>
    <t>LN1643</t>
  </si>
  <si>
    <t>LN1644</t>
  </si>
  <si>
    <t>LN1645</t>
  </si>
  <si>
    <t>LN1646</t>
  </si>
  <si>
    <t>LN1647</t>
  </si>
  <si>
    <t>LN1648</t>
  </si>
  <si>
    <t>LN1649</t>
  </si>
  <si>
    <t>LN1650</t>
  </si>
  <si>
    <t>LN1651</t>
  </si>
  <si>
    <t>LN1652</t>
  </si>
  <si>
    <t>LN1653</t>
  </si>
  <si>
    <t>LN1654</t>
  </si>
  <si>
    <t>LN1655</t>
  </si>
  <si>
    <t>LN1656</t>
  </si>
  <si>
    <t>LN1657</t>
  </si>
  <si>
    <t>LN1658</t>
  </si>
  <si>
    <t>LN1659</t>
  </si>
  <si>
    <t>LN1660</t>
  </si>
  <si>
    <t>LN1661</t>
  </si>
  <si>
    <t>LN1662</t>
  </si>
  <si>
    <t>LN1663</t>
  </si>
  <si>
    <t>LN1664</t>
  </si>
  <si>
    <t>LN1665</t>
  </si>
  <si>
    <t>LN1666</t>
  </si>
  <si>
    <t>LN1667</t>
  </si>
  <si>
    <t>LN1668</t>
  </si>
  <si>
    <t>LN1669</t>
  </si>
  <si>
    <t>LN1670</t>
  </si>
  <si>
    <t>LN1671</t>
  </si>
  <si>
    <t>LN1672</t>
  </si>
  <si>
    <t>LN1673</t>
  </si>
  <si>
    <t>LN1674</t>
  </si>
  <si>
    <t>LN1675</t>
  </si>
  <si>
    <t>LN1676</t>
  </si>
  <si>
    <t>LN1677</t>
  </si>
  <si>
    <t>LN1678</t>
  </si>
  <si>
    <t>LN1679</t>
  </si>
  <si>
    <t>LN1680</t>
  </si>
  <si>
    <t>LN1681</t>
  </si>
  <si>
    <t>LN1682</t>
  </si>
  <si>
    <t>LN1683</t>
  </si>
  <si>
    <t>LN1684</t>
  </si>
  <si>
    <t>LN1685</t>
  </si>
  <si>
    <t>LN1686</t>
  </si>
  <si>
    <t>LN1687</t>
  </si>
  <si>
    <t>LN1688</t>
  </si>
  <si>
    <t>LN1689</t>
  </si>
  <si>
    <t>LN1690</t>
  </si>
  <si>
    <t>LN1691</t>
  </si>
  <si>
    <t>LN1692</t>
  </si>
  <si>
    <t>LN1693</t>
  </si>
  <si>
    <t>LN1694</t>
  </si>
  <si>
    <t>LN1695</t>
  </si>
  <si>
    <t>LN1696</t>
  </si>
  <si>
    <t>LN1697</t>
  </si>
  <si>
    <t>LN1698</t>
  </si>
  <si>
    <t>LN1699</t>
  </si>
  <si>
    <t>LN1700</t>
  </si>
  <si>
    <t>LN1701</t>
  </si>
  <si>
    <t>LN1702</t>
  </si>
  <si>
    <t>LN1703</t>
  </si>
  <si>
    <t>LN1704</t>
  </si>
  <si>
    <t>LN1705</t>
  </si>
  <si>
    <t>LN1706</t>
  </si>
  <si>
    <t>LN1707</t>
  </si>
  <si>
    <t>LN1708</t>
  </si>
  <si>
    <t>LN1709</t>
  </si>
  <si>
    <t>LN1710</t>
  </si>
  <si>
    <t>LN1711</t>
  </si>
  <si>
    <t>LN1712</t>
  </si>
  <si>
    <t>LN1713</t>
  </si>
  <si>
    <t>LN1714</t>
  </si>
  <si>
    <t>LN1715</t>
  </si>
  <si>
    <t>LN1716</t>
  </si>
  <si>
    <t>LN1717</t>
  </si>
  <si>
    <t>LN1718</t>
  </si>
  <si>
    <t>LN1719</t>
  </si>
  <si>
    <t>LN1720</t>
  </si>
  <si>
    <t>LN1721</t>
  </si>
  <si>
    <t>LN1722</t>
  </si>
  <si>
    <t>LN1723</t>
  </si>
  <si>
    <t>LN1724</t>
  </si>
  <si>
    <t>LN1725</t>
  </si>
  <si>
    <t>LN1726</t>
  </si>
  <si>
    <t>LN1727</t>
  </si>
  <si>
    <t>LN1728</t>
  </si>
  <si>
    <t>LN1729</t>
  </si>
  <si>
    <t>LN1730</t>
  </si>
  <si>
    <t>LN1731</t>
  </si>
  <si>
    <t>LN1732</t>
  </si>
  <si>
    <t>LN1733</t>
  </si>
  <si>
    <t>LN1734</t>
  </si>
  <si>
    <t>LN1735</t>
  </si>
  <si>
    <t>LN1736</t>
  </si>
  <si>
    <t>LN1737</t>
  </si>
  <si>
    <t>LN1738</t>
  </si>
  <si>
    <t>LN1739</t>
  </si>
  <si>
    <t>LN1740</t>
  </si>
  <si>
    <t>LN1741</t>
  </si>
  <si>
    <t>LN1742</t>
  </si>
  <si>
    <t>LN1743</t>
  </si>
  <si>
    <t>LN1744</t>
  </si>
  <si>
    <t>LN1745</t>
  </si>
  <si>
    <t>LN1746</t>
  </si>
  <si>
    <t>LN1747</t>
  </si>
  <si>
    <t>LN1748</t>
  </si>
  <si>
    <t>LN1749</t>
  </si>
  <si>
    <t>LN1750</t>
  </si>
  <si>
    <t>LN1751</t>
  </si>
  <si>
    <t>LN1752</t>
  </si>
  <si>
    <t>LN1753</t>
  </si>
  <si>
    <t>LN1754</t>
  </si>
  <si>
    <t>LN1755</t>
  </si>
  <si>
    <t>LN1756</t>
  </si>
  <si>
    <t>LN1757</t>
  </si>
  <si>
    <t>LN1758</t>
  </si>
  <si>
    <t>LN1759</t>
  </si>
  <si>
    <t>LN1760</t>
  </si>
  <si>
    <t>LN1761</t>
  </si>
  <si>
    <t>LN1762</t>
  </si>
  <si>
    <t>LN1763</t>
  </si>
  <si>
    <t>LN1764</t>
  </si>
  <si>
    <t>LN1765</t>
  </si>
  <si>
    <t>LN1766</t>
  </si>
  <si>
    <t>LN1767</t>
  </si>
  <si>
    <t>LN1768</t>
  </si>
  <si>
    <t>LN1769</t>
  </si>
  <si>
    <t>LN1770</t>
  </si>
  <si>
    <t>LN1771</t>
  </si>
  <si>
    <t>LN1772</t>
  </si>
  <si>
    <t>LN1773</t>
  </si>
  <si>
    <t>LN1774</t>
  </si>
  <si>
    <t>LN1775</t>
  </si>
  <si>
    <t>LN1776</t>
  </si>
  <si>
    <t>LN1777</t>
  </si>
  <si>
    <t>LN1778</t>
  </si>
  <si>
    <t>LN1779</t>
  </si>
  <si>
    <t>LN1780</t>
  </si>
  <si>
    <t>LN1781</t>
  </si>
  <si>
    <t>LN1782</t>
  </si>
  <si>
    <t>LN1783</t>
  </si>
  <si>
    <t>LN1784</t>
  </si>
  <si>
    <t>LN1785</t>
  </si>
  <si>
    <t>LN1786</t>
  </si>
  <si>
    <t>LN1787</t>
  </si>
  <si>
    <t>LN1788</t>
  </si>
  <si>
    <t>LN1789</t>
  </si>
  <si>
    <t>LN1790</t>
  </si>
  <si>
    <t>LN1791</t>
  </si>
  <si>
    <t>LN1792</t>
  </si>
  <si>
    <t>LN1793</t>
  </si>
  <si>
    <t>LN1794</t>
  </si>
  <si>
    <t>LN1795</t>
  </si>
  <si>
    <t>LN1796</t>
  </si>
  <si>
    <t>LN1797</t>
  </si>
  <si>
    <t>LN1798</t>
  </si>
  <si>
    <t>LN1799</t>
  </si>
  <si>
    <t>LN1800</t>
  </si>
  <si>
    <t>LN1801</t>
  </si>
  <si>
    <t>LN1802</t>
  </si>
  <si>
    <t>LN1803</t>
  </si>
  <si>
    <t>LN1804</t>
  </si>
  <si>
    <t>LN1805</t>
  </si>
  <si>
    <t>LN1806</t>
  </si>
  <si>
    <t>LN1807</t>
  </si>
  <si>
    <t>LN1808</t>
  </si>
  <si>
    <t>LN1809</t>
  </si>
  <si>
    <t>LN1810</t>
  </si>
  <si>
    <t>LN1811</t>
  </si>
  <si>
    <t>LN1812</t>
  </si>
  <si>
    <t>LN1813</t>
  </si>
  <si>
    <t>LN1814</t>
  </si>
  <si>
    <t>LN1815</t>
  </si>
  <si>
    <t>LN1816</t>
  </si>
  <si>
    <t>LN1817</t>
  </si>
  <si>
    <t>LN1818</t>
  </si>
  <si>
    <t>LN1819</t>
  </si>
  <si>
    <t>LN1820</t>
  </si>
  <si>
    <t>LN1821</t>
  </si>
  <si>
    <t>LN1822</t>
  </si>
  <si>
    <t>LN1823</t>
  </si>
  <si>
    <t>LN1824</t>
  </si>
  <si>
    <t>LN1825</t>
  </si>
  <si>
    <t>LN1826</t>
  </si>
  <si>
    <t>LN1827</t>
  </si>
  <si>
    <t>LN1828</t>
  </si>
  <si>
    <t>LN1829</t>
  </si>
  <si>
    <t>LN1830</t>
  </si>
  <si>
    <t>LN1831</t>
  </si>
  <si>
    <t>LN1832</t>
  </si>
  <si>
    <t>LN1833</t>
  </si>
  <si>
    <t>LN1834</t>
  </si>
  <si>
    <t>LN1835</t>
  </si>
  <si>
    <t>LN1836</t>
  </si>
  <si>
    <t>LN1837</t>
  </si>
  <si>
    <t>LN1838</t>
  </si>
  <si>
    <t>LN1839</t>
  </si>
  <si>
    <t>LN1840</t>
  </si>
  <si>
    <t>LN1841</t>
  </si>
  <si>
    <t>LN1842</t>
  </si>
  <si>
    <t>LN1843</t>
  </si>
  <si>
    <t>LN1844</t>
  </si>
  <si>
    <t>LN1845</t>
  </si>
  <si>
    <t>LN1846</t>
  </si>
  <si>
    <t>LN1847</t>
  </si>
  <si>
    <t>LN1848</t>
  </si>
  <si>
    <t>LN1849</t>
  </si>
  <si>
    <t>LN1850</t>
  </si>
  <si>
    <t>LN1851</t>
  </si>
  <si>
    <t>LN1852</t>
  </si>
  <si>
    <t>LN1853</t>
  </si>
  <si>
    <t>LN1854</t>
  </si>
  <si>
    <t>LN1855</t>
  </si>
  <si>
    <t>LN1856</t>
  </si>
  <si>
    <t>LN1857</t>
  </si>
  <si>
    <t>LN1858</t>
  </si>
  <si>
    <t>LN1859</t>
  </si>
  <si>
    <t>LN1860</t>
  </si>
  <si>
    <t>LN1861</t>
  </si>
  <si>
    <t>LN1862</t>
  </si>
  <si>
    <t>LN1863</t>
  </si>
  <si>
    <t>LN1864</t>
  </si>
  <si>
    <t>LN1865</t>
  </si>
  <si>
    <t>LN1866</t>
  </si>
  <si>
    <t>LN1867</t>
  </si>
  <si>
    <t>LN1868</t>
  </si>
  <si>
    <t>LN1869</t>
  </si>
  <si>
    <t>LN1870</t>
  </si>
  <si>
    <t>LN1871</t>
  </si>
  <si>
    <t>LN1872</t>
  </si>
  <si>
    <t>LN1873</t>
  </si>
  <si>
    <t>LN1874</t>
  </si>
  <si>
    <t>LN1875</t>
  </si>
  <si>
    <t>LN1876</t>
  </si>
  <si>
    <t>LN1877</t>
  </si>
  <si>
    <t>LN1878</t>
  </si>
  <si>
    <t>LN1879</t>
  </si>
  <si>
    <t>LN1880</t>
  </si>
  <si>
    <t>LN1881</t>
  </si>
  <si>
    <t>LN1882</t>
  </si>
  <si>
    <t>LN1883</t>
  </si>
  <si>
    <t>LN1884</t>
  </si>
  <si>
    <t>LN1885</t>
  </si>
  <si>
    <t>LN1886</t>
  </si>
  <si>
    <t>LN1887</t>
  </si>
  <si>
    <t>LN1888</t>
  </si>
  <si>
    <t>LN1889</t>
  </si>
  <si>
    <t>LN1890</t>
  </si>
  <si>
    <t>LN1891</t>
  </si>
  <si>
    <t>LN1892</t>
  </si>
  <si>
    <t>LN1893</t>
  </si>
  <si>
    <t>LN1894</t>
  </si>
  <si>
    <t>LN1895</t>
  </si>
  <si>
    <t>LN1896</t>
  </si>
  <si>
    <t>LN1897</t>
  </si>
  <si>
    <t>LN1898</t>
  </si>
  <si>
    <t>LN1899</t>
  </si>
  <si>
    <t>LN1900</t>
  </si>
  <si>
    <t>LN1901</t>
  </si>
  <si>
    <t>LN1902</t>
  </si>
  <si>
    <t>LN1903</t>
  </si>
  <si>
    <t>LN1904</t>
  </si>
  <si>
    <t>LN1905</t>
  </si>
  <si>
    <t>LN1906</t>
  </si>
  <si>
    <t>LN1907</t>
  </si>
  <si>
    <t>LN1908</t>
  </si>
  <si>
    <t>LN1909</t>
  </si>
  <si>
    <t>LN1910</t>
  </si>
  <si>
    <t>LN1911</t>
  </si>
  <si>
    <t>LN1912</t>
  </si>
  <si>
    <t>LN1913</t>
  </si>
  <si>
    <t>LN1914</t>
  </si>
  <si>
    <t>LN1915</t>
  </si>
  <si>
    <t>LN1916</t>
  </si>
  <si>
    <t>LN1917</t>
  </si>
  <si>
    <t>LN1918</t>
  </si>
  <si>
    <t>LN1919</t>
  </si>
  <si>
    <t>LN1920</t>
  </si>
  <si>
    <t>LN1921</t>
  </si>
  <si>
    <t>LN1922</t>
  </si>
  <si>
    <t>LN1923</t>
  </si>
  <si>
    <t>LN1924</t>
  </si>
  <si>
    <t>LN1925</t>
  </si>
  <si>
    <t>LN1926</t>
  </si>
  <si>
    <t>LN1927</t>
  </si>
  <si>
    <t>LN1928</t>
  </si>
  <si>
    <t>LN1929</t>
  </si>
  <si>
    <t>LN1930</t>
  </si>
  <si>
    <t>LN1931</t>
  </si>
  <si>
    <t>LN1932</t>
  </si>
  <si>
    <t>LN1933</t>
  </si>
  <si>
    <t>LN1934</t>
  </si>
  <si>
    <t>LN1935</t>
  </si>
  <si>
    <t>LN1936</t>
  </si>
  <si>
    <t>LN1937</t>
  </si>
  <si>
    <t>LN1938</t>
  </si>
  <si>
    <t>LN1939</t>
  </si>
  <si>
    <t>LN1940</t>
  </si>
  <si>
    <t>LN1941</t>
  </si>
  <si>
    <t>LN1942</t>
  </si>
  <si>
    <t>LN1943</t>
  </si>
  <si>
    <t>LN1944</t>
  </si>
  <si>
    <t>LN1945</t>
  </si>
  <si>
    <t>LN1946</t>
  </si>
  <si>
    <t>LN1947</t>
  </si>
  <si>
    <t>LN1948</t>
  </si>
  <si>
    <t>LN1949</t>
  </si>
  <si>
    <t>LN1950</t>
  </si>
  <si>
    <t>LN1951</t>
  </si>
  <si>
    <t>LN1952</t>
  </si>
  <si>
    <t>LN1953</t>
  </si>
  <si>
    <t>LN1954</t>
  </si>
  <si>
    <t>LN1955</t>
  </si>
  <si>
    <t>LN1956</t>
  </si>
  <si>
    <t>LN1957</t>
  </si>
  <si>
    <t>LN1958</t>
  </si>
  <si>
    <t>LN1959</t>
  </si>
  <si>
    <t>LN1960</t>
  </si>
  <si>
    <t>LN1961</t>
  </si>
  <si>
    <t>LN1962</t>
  </si>
  <si>
    <t>LN1963</t>
  </si>
  <si>
    <t>LN1964</t>
  </si>
  <si>
    <t>LN1965</t>
  </si>
  <si>
    <t>LN1966</t>
  </si>
  <si>
    <t>LN1967</t>
  </si>
  <si>
    <t>LN1968</t>
  </si>
  <si>
    <t>LN1969</t>
  </si>
  <si>
    <t>LN1970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</si>
</sst>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2"/>
  <sheetViews>
    <sheetView tabSelected="1" workbookViewId="0">
      <pane xSplit="1" ySplit="1" topLeftCell="B946" activePane="bottomRight" state="frozen"/>
      <selection pane="topRight" activeCell="B1" sqref="B1"/>
      <selection pane="bottomLeft" activeCell="A2" sqref="A2"/>
      <selection pane="bottomRight" sqref="A1:A972"/>
    </sheetView>
  </sheetViews>
  <sheetFormatPr defaultRowHeight="14.4" x14ac:dyDescent="0.3"/>
  <cols>
    <col min="1" max="1" width="7.88671875" bestFit="1" customWidth="1"/>
    <col min="2" max="2" width="15.109375" bestFit="1" customWidth="1"/>
    <col min="3" max="3" width="4.21875" bestFit="1" customWidth="1"/>
    <col min="4" max="4" width="7.109375" bestFit="1" customWidth="1"/>
    <col min="5" max="5" width="14.44140625" bestFit="1" customWidth="1"/>
    <col min="6" max="6" width="13.109375" bestFit="1" customWidth="1"/>
    <col min="7" max="7" width="18.21875" bestFit="1" customWidth="1"/>
    <col min="8" max="8" width="11.6640625" bestFit="1" customWidth="1"/>
    <col min="9" max="9" width="17" bestFit="1" customWidth="1"/>
    <col min="10" max="10" width="13.109375" bestFit="1" customWidth="1"/>
    <col min="11" max="11" width="15" bestFit="1" customWidth="1"/>
    <col min="12" max="12" width="14.5546875" bestFit="1" customWidth="1"/>
    <col min="13" max="13" width="14.77734375" bestFit="1" customWidth="1"/>
    <col min="14" max="14" width="13.77734375" bestFit="1" customWidth="1"/>
    <col min="15" max="15" width="16.2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3" t="s">
        <v>15</v>
      </c>
      <c r="B2" t="s">
        <v>215</v>
      </c>
      <c r="C2">
        <v>51</v>
      </c>
      <c r="D2" t="s">
        <v>394</v>
      </c>
      <c r="E2">
        <v>1239835</v>
      </c>
      <c r="F2">
        <v>834188</v>
      </c>
      <c r="G2">
        <v>180</v>
      </c>
      <c r="H2">
        <v>698</v>
      </c>
      <c r="I2" t="s">
        <v>396</v>
      </c>
      <c r="J2" t="s">
        <v>399</v>
      </c>
      <c r="K2" t="s">
        <v>404</v>
      </c>
      <c r="L2">
        <f t="shared" ref="L2:L65" si="0">COUNTA($A$2:$A$1001)</f>
        <v>971</v>
      </c>
      <c r="M2">
        <f ca="1">COUNTIF($K$2:$K$1001,"Approved")</f>
        <v>612</v>
      </c>
      <c r="N2">
        <f ca="1">COUNTIF($K$2:$K$1001,"Rejected")</f>
        <v>292</v>
      </c>
      <c r="O2" s="2">
        <f ca="1">COUNTIF($K$2:$K$1001,"Approved") / COUNTA($A$2:$A$1001)</f>
        <v>0.63027806385169927</v>
      </c>
    </row>
    <row r="3" spans="1:15" x14ac:dyDescent="0.3">
      <c r="A3" s="3" t="s">
        <v>16</v>
      </c>
      <c r="B3" t="s">
        <v>216</v>
      </c>
      <c r="C3">
        <v>58</v>
      </c>
      <c r="D3" t="s">
        <v>395</v>
      </c>
      <c r="E3">
        <v>516074</v>
      </c>
      <c r="F3">
        <v>1874743</v>
      </c>
      <c r="G3">
        <v>60</v>
      </c>
      <c r="H3">
        <v>867</v>
      </c>
      <c r="I3" t="s">
        <v>397</v>
      </c>
      <c r="J3" t="s">
        <v>400</v>
      </c>
      <c r="K3" t="s">
        <v>405</v>
      </c>
      <c r="L3">
        <f t="shared" si="0"/>
        <v>971</v>
      </c>
      <c r="M3">
        <f t="shared" ref="M3:M66" ca="1" si="1">COUNTIF($K$2:$K$1001,"Approved")</f>
        <v>612</v>
      </c>
      <c r="N3">
        <f t="shared" ref="N3:N66" ca="1" si="2">COUNTIF($K$2:$K$1001,"Rejected")</f>
        <v>292</v>
      </c>
      <c r="O3" s="2">
        <f t="shared" ref="O3:O66" ca="1" si="3">COUNTIF($K$2:$K$1001,"Approved") / COUNTA($A$2:$A$1001)</f>
        <v>0.63027806385169927</v>
      </c>
    </row>
    <row r="4" spans="1:15" x14ac:dyDescent="0.3">
      <c r="A4" s="3" t="s">
        <v>17</v>
      </c>
      <c r="B4" t="s">
        <v>217</v>
      </c>
      <c r="C4">
        <v>31</v>
      </c>
      <c r="D4" t="s">
        <v>395</v>
      </c>
      <c r="E4">
        <v>701868</v>
      </c>
      <c r="F4">
        <v>702797</v>
      </c>
      <c r="G4">
        <v>180</v>
      </c>
      <c r="H4">
        <v>779</v>
      </c>
      <c r="I4" t="s">
        <v>398</v>
      </c>
      <c r="J4" t="s">
        <v>399</v>
      </c>
      <c r="K4" t="s">
        <v>405</v>
      </c>
      <c r="L4">
        <f t="shared" si="0"/>
        <v>971</v>
      </c>
      <c r="M4">
        <f t="shared" ca="1" si="1"/>
        <v>612</v>
      </c>
      <c r="N4">
        <f t="shared" ca="1" si="2"/>
        <v>292</v>
      </c>
      <c r="O4" s="2">
        <f t="shared" ca="1" si="3"/>
        <v>0.63027806385169927</v>
      </c>
    </row>
    <row r="5" spans="1:15" x14ac:dyDescent="0.3">
      <c r="A5" s="3" t="s">
        <v>18</v>
      </c>
      <c r="B5" t="s">
        <v>218</v>
      </c>
      <c r="C5">
        <v>58</v>
      </c>
      <c r="D5" t="s">
        <v>395</v>
      </c>
      <c r="E5">
        <v>342872</v>
      </c>
      <c r="F5">
        <v>661131</v>
      </c>
      <c r="G5">
        <v>36</v>
      </c>
      <c r="H5">
        <v>485</v>
      </c>
      <c r="I5" t="s">
        <v>397</v>
      </c>
      <c r="J5" t="s">
        <v>401</v>
      </c>
      <c r="K5" t="s">
        <v>406</v>
      </c>
      <c r="L5">
        <f t="shared" si="0"/>
        <v>971</v>
      </c>
      <c r="M5">
        <f t="shared" ca="1" si="1"/>
        <v>612</v>
      </c>
      <c r="N5">
        <f t="shared" ca="1" si="2"/>
        <v>292</v>
      </c>
      <c r="O5" s="2">
        <f t="shared" ca="1" si="3"/>
        <v>0.63027806385169927</v>
      </c>
    </row>
    <row r="6" spans="1:15" x14ac:dyDescent="0.3">
      <c r="A6" s="3" t="s">
        <v>19</v>
      </c>
      <c r="B6" t="s">
        <v>219</v>
      </c>
      <c r="C6">
        <v>38</v>
      </c>
      <c r="D6" t="s">
        <v>394</v>
      </c>
      <c r="E6">
        <v>1346566</v>
      </c>
      <c r="F6">
        <v>1277850</v>
      </c>
      <c r="G6">
        <v>12</v>
      </c>
      <c r="H6">
        <v>680</v>
      </c>
      <c r="I6" t="s">
        <v>397</v>
      </c>
      <c r="J6" t="s">
        <v>400</v>
      </c>
      <c r="K6" t="s">
        <v>405</v>
      </c>
      <c r="L6">
        <f t="shared" si="0"/>
        <v>971</v>
      </c>
      <c r="M6">
        <f t="shared" ca="1" si="1"/>
        <v>612</v>
      </c>
      <c r="N6">
        <f t="shared" ca="1" si="2"/>
        <v>292</v>
      </c>
      <c r="O6" s="2">
        <f t="shared" ca="1" si="3"/>
        <v>0.63027806385169927</v>
      </c>
    </row>
    <row r="7" spans="1:15" x14ac:dyDescent="0.3">
      <c r="A7" s="3" t="s">
        <v>20</v>
      </c>
      <c r="B7" t="s">
        <v>220</v>
      </c>
      <c r="C7">
        <v>53</v>
      </c>
      <c r="D7" t="s">
        <v>394</v>
      </c>
      <c r="E7">
        <v>940178</v>
      </c>
      <c r="F7">
        <v>1775245</v>
      </c>
      <c r="G7">
        <v>36</v>
      </c>
      <c r="H7">
        <v>602</v>
      </c>
      <c r="I7" t="s">
        <v>398</v>
      </c>
      <c r="J7" t="s">
        <v>399</v>
      </c>
      <c r="K7" t="s">
        <v>404</v>
      </c>
      <c r="L7">
        <f t="shared" si="0"/>
        <v>971</v>
      </c>
      <c r="M7">
        <f t="shared" ca="1" si="1"/>
        <v>612</v>
      </c>
      <c r="N7">
        <f t="shared" ca="1" si="2"/>
        <v>292</v>
      </c>
      <c r="O7" s="2">
        <f t="shared" ca="1" si="3"/>
        <v>0.63027806385169927</v>
      </c>
    </row>
    <row r="8" spans="1:15" x14ac:dyDescent="0.3">
      <c r="A8" s="3" t="s">
        <v>21</v>
      </c>
      <c r="B8" t="s">
        <v>221</v>
      </c>
      <c r="C8">
        <v>22</v>
      </c>
      <c r="D8" t="s">
        <v>395</v>
      </c>
      <c r="E8">
        <v>1207514</v>
      </c>
      <c r="F8">
        <v>1971985</v>
      </c>
      <c r="G8">
        <v>60</v>
      </c>
      <c r="H8">
        <v>637</v>
      </c>
      <c r="I8" t="s">
        <v>396</v>
      </c>
      <c r="J8" t="s">
        <v>399</v>
      </c>
      <c r="K8" t="s">
        <v>406</v>
      </c>
      <c r="L8">
        <f t="shared" si="0"/>
        <v>971</v>
      </c>
      <c r="M8">
        <f t="shared" ca="1" si="1"/>
        <v>612</v>
      </c>
      <c r="N8">
        <f t="shared" ca="1" si="2"/>
        <v>292</v>
      </c>
      <c r="O8" s="2">
        <f t="shared" ca="1" si="3"/>
        <v>0.63027806385169927</v>
      </c>
    </row>
    <row r="9" spans="1:15" x14ac:dyDescent="0.3">
      <c r="A9" s="3" t="s">
        <v>22</v>
      </c>
      <c r="B9" t="s">
        <v>222</v>
      </c>
      <c r="C9">
        <v>22</v>
      </c>
      <c r="D9" t="s">
        <v>395</v>
      </c>
      <c r="E9">
        <v>574130</v>
      </c>
      <c r="F9">
        <v>655250</v>
      </c>
      <c r="G9">
        <v>12</v>
      </c>
      <c r="H9">
        <v>720</v>
      </c>
      <c r="I9" t="s">
        <v>397</v>
      </c>
      <c r="J9" t="s">
        <v>401</v>
      </c>
      <c r="K9" t="s">
        <v>404</v>
      </c>
      <c r="L9">
        <f t="shared" si="0"/>
        <v>971</v>
      </c>
      <c r="M9">
        <f t="shared" ca="1" si="1"/>
        <v>612</v>
      </c>
      <c r="N9">
        <f t="shared" ca="1" si="2"/>
        <v>292</v>
      </c>
      <c r="O9" s="2">
        <f t="shared" ca="1" si="3"/>
        <v>0.63027806385169927</v>
      </c>
    </row>
    <row r="10" spans="1:15" x14ac:dyDescent="0.3">
      <c r="A10" s="3" t="s">
        <v>23</v>
      </c>
      <c r="B10" t="s">
        <v>223</v>
      </c>
      <c r="C10">
        <v>23</v>
      </c>
      <c r="D10" t="s">
        <v>395</v>
      </c>
      <c r="E10">
        <v>241354</v>
      </c>
      <c r="F10">
        <v>819888</v>
      </c>
      <c r="G10">
        <v>180</v>
      </c>
      <c r="H10">
        <v>757</v>
      </c>
      <c r="I10" t="s">
        <v>398</v>
      </c>
      <c r="J10" t="s">
        <v>400</v>
      </c>
      <c r="K10" t="s">
        <v>404</v>
      </c>
      <c r="L10">
        <f t="shared" si="0"/>
        <v>971</v>
      </c>
      <c r="M10">
        <f t="shared" ca="1" si="1"/>
        <v>612</v>
      </c>
      <c r="N10">
        <f t="shared" ca="1" si="2"/>
        <v>292</v>
      </c>
      <c r="O10" s="2">
        <f t="shared" ca="1" si="3"/>
        <v>0.63027806385169927</v>
      </c>
    </row>
    <row r="11" spans="1:15" x14ac:dyDescent="0.3">
      <c r="A11" s="3" t="s">
        <v>24</v>
      </c>
      <c r="B11" t="s">
        <v>224</v>
      </c>
      <c r="C11">
        <v>54</v>
      </c>
      <c r="D11" t="s">
        <v>395</v>
      </c>
      <c r="E11">
        <v>464984</v>
      </c>
      <c r="F11">
        <v>53183</v>
      </c>
      <c r="G11">
        <v>36</v>
      </c>
      <c r="H11">
        <v>405</v>
      </c>
      <c r="I11" t="s">
        <v>398</v>
      </c>
      <c r="J11" t="s">
        <v>401</v>
      </c>
      <c r="K11" t="s">
        <v>404</v>
      </c>
      <c r="L11">
        <f t="shared" si="0"/>
        <v>971</v>
      </c>
      <c r="M11">
        <f t="shared" ca="1" si="1"/>
        <v>612</v>
      </c>
      <c r="N11">
        <f t="shared" ca="1" si="2"/>
        <v>292</v>
      </c>
      <c r="O11" s="2">
        <f t="shared" ca="1" si="3"/>
        <v>0.63027806385169927</v>
      </c>
    </row>
    <row r="12" spans="1:15" x14ac:dyDescent="0.3">
      <c r="A12" s="3" t="s">
        <v>25</v>
      </c>
      <c r="B12" t="s">
        <v>225</v>
      </c>
      <c r="C12">
        <v>27</v>
      </c>
      <c r="D12" t="s">
        <v>394</v>
      </c>
      <c r="E12">
        <v>1304711</v>
      </c>
      <c r="F12">
        <v>1815537</v>
      </c>
      <c r="G12">
        <v>12</v>
      </c>
      <c r="H12">
        <v>775</v>
      </c>
      <c r="I12" t="s">
        <v>397</v>
      </c>
      <c r="J12" t="s">
        <v>402</v>
      </c>
      <c r="K12" t="s">
        <v>404</v>
      </c>
      <c r="L12">
        <f t="shared" si="0"/>
        <v>971</v>
      </c>
      <c r="M12">
        <f t="shared" ca="1" si="1"/>
        <v>612</v>
      </c>
      <c r="N12">
        <f t="shared" ca="1" si="2"/>
        <v>292</v>
      </c>
      <c r="O12" s="2">
        <f t="shared" ca="1" si="3"/>
        <v>0.63027806385169927</v>
      </c>
    </row>
    <row r="13" spans="1:15" x14ac:dyDescent="0.3">
      <c r="A13" s="3" t="s">
        <v>26</v>
      </c>
      <c r="B13" t="s">
        <v>226</v>
      </c>
      <c r="C13">
        <v>48</v>
      </c>
      <c r="D13" t="s">
        <v>395</v>
      </c>
      <c r="E13">
        <v>407087</v>
      </c>
      <c r="F13">
        <v>821077</v>
      </c>
      <c r="G13">
        <v>180</v>
      </c>
      <c r="H13">
        <v>574</v>
      </c>
      <c r="I13" t="s">
        <v>396</v>
      </c>
      <c r="J13" t="s">
        <v>399</v>
      </c>
      <c r="K13" t="s">
        <v>404</v>
      </c>
      <c r="L13">
        <f t="shared" si="0"/>
        <v>971</v>
      </c>
      <c r="M13">
        <f t="shared" ca="1" si="1"/>
        <v>612</v>
      </c>
      <c r="N13">
        <f t="shared" ca="1" si="2"/>
        <v>292</v>
      </c>
      <c r="O13" s="2">
        <f t="shared" ca="1" si="3"/>
        <v>0.63027806385169927</v>
      </c>
    </row>
    <row r="14" spans="1:15" x14ac:dyDescent="0.3">
      <c r="A14" s="3" t="s">
        <v>27</v>
      </c>
      <c r="B14" t="s">
        <v>227</v>
      </c>
      <c r="C14">
        <v>58</v>
      </c>
      <c r="D14" t="s">
        <v>394</v>
      </c>
      <c r="E14">
        <v>1014774</v>
      </c>
      <c r="F14">
        <v>1642429</v>
      </c>
      <c r="G14">
        <v>12</v>
      </c>
      <c r="H14">
        <v>655</v>
      </c>
      <c r="I14" t="s">
        <v>397</v>
      </c>
      <c r="J14" t="s">
        <v>399</v>
      </c>
      <c r="K14" t="s">
        <v>404</v>
      </c>
      <c r="L14">
        <f t="shared" si="0"/>
        <v>971</v>
      </c>
      <c r="M14">
        <f t="shared" ca="1" si="1"/>
        <v>612</v>
      </c>
      <c r="N14">
        <f t="shared" ca="1" si="2"/>
        <v>292</v>
      </c>
      <c r="O14" s="2">
        <f t="shared" ca="1" si="3"/>
        <v>0.63027806385169927</v>
      </c>
    </row>
    <row r="15" spans="1:15" x14ac:dyDescent="0.3">
      <c r="A15" s="3" t="s">
        <v>28</v>
      </c>
      <c r="B15" t="s">
        <v>228</v>
      </c>
      <c r="C15">
        <v>59</v>
      </c>
      <c r="D15" t="s">
        <v>394</v>
      </c>
      <c r="E15">
        <v>833588</v>
      </c>
      <c r="F15">
        <v>1310192</v>
      </c>
      <c r="G15">
        <v>120</v>
      </c>
      <c r="H15">
        <v>892</v>
      </c>
      <c r="I15" t="s">
        <v>397</v>
      </c>
      <c r="J15" t="s">
        <v>403</v>
      </c>
      <c r="K15" t="s">
        <v>406</v>
      </c>
      <c r="L15">
        <f t="shared" si="0"/>
        <v>971</v>
      </c>
      <c r="M15">
        <f t="shared" ca="1" si="1"/>
        <v>612</v>
      </c>
      <c r="N15">
        <f t="shared" ca="1" si="2"/>
        <v>292</v>
      </c>
      <c r="O15" s="2">
        <f t="shared" ca="1" si="3"/>
        <v>0.63027806385169927</v>
      </c>
    </row>
    <row r="16" spans="1:15" x14ac:dyDescent="0.3">
      <c r="A16" s="3" t="s">
        <v>29</v>
      </c>
      <c r="B16" t="s">
        <v>229</v>
      </c>
      <c r="C16">
        <v>46</v>
      </c>
      <c r="D16" t="s">
        <v>394</v>
      </c>
      <c r="E16">
        <v>1025986</v>
      </c>
      <c r="F16">
        <v>417569</v>
      </c>
      <c r="G16">
        <v>12</v>
      </c>
      <c r="H16">
        <v>773</v>
      </c>
      <c r="I16" t="s">
        <v>398</v>
      </c>
      <c r="J16" t="s">
        <v>403</v>
      </c>
      <c r="K16" t="s">
        <v>406</v>
      </c>
      <c r="L16">
        <f t="shared" si="0"/>
        <v>971</v>
      </c>
      <c r="M16">
        <f t="shared" ca="1" si="1"/>
        <v>612</v>
      </c>
      <c r="N16">
        <f t="shared" ca="1" si="2"/>
        <v>292</v>
      </c>
      <c r="O16" s="2">
        <f t="shared" ca="1" si="3"/>
        <v>0.63027806385169927</v>
      </c>
    </row>
    <row r="17" spans="1:15" x14ac:dyDescent="0.3">
      <c r="A17" s="3" t="s">
        <v>30</v>
      </c>
      <c r="B17" t="s">
        <v>230</v>
      </c>
      <c r="C17">
        <v>38</v>
      </c>
      <c r="D17" t="s">
        <v>394</v>
      </c>
      <c r="E17">
        <v>1189301</v>
      </c>
      <c r="F17">
        <v>1318045</v>
      </c>
      <c r="G17">
        <v>120</v>
      </c>
      <c r="H17">
        <v>622</v>
      </c>
      <c r="I17" t="s">
        <v>398</v>
      </c>
      <c r="J17" t="s">
        <v>399</v>
      </c>
      <c r="K17" t="s">
        <v>405</v>
      </c>
      <c r="L17">
        <f t="shared" si="0"/>
        <v>971</v>
      </c>
      <c r="M17">
        <f t="shared" ca="1" si="1"/>
        <v>612</v>
      </c>
      <c r="N17">
        <f t="shared" ca="1" si="2"/>
        <v>292</v>
      </c>
      <c r="O17" s="2">
        <f t="shared" ca="1" si="3"/>
        <v>0.63027806385169927</v>
      </c>
    </row>
    <row r="18" spans="1:15" x14ac:dyDescent="0.3">
      <c r="A18" s="3" t="s">
        <v>31</v>
      </c>
      <c r="B18" t="s">
        <v>231</v>
      </c>
      <c r="C18">
        <v>29</v>
      </c>
      <c r="D18" t="s">
        <v>395</v>
      </c>
      <c r="E18">
        <v>868963</v>
      </c>
      <c r="F18">
        <v>367584</v>
      </c>
      <c r="G18">
        <v>60</v>
      </c>
      <c r="H18">
        <v>571</v>
      </c>
      <c r="I18" t="s">
        <v>398</v>
      </c>
      <c r="J18" t="s">
        <v>400</v>
      </c>
      <c r="K18" t="s">
        <v>404</v>
      </c>
      <c r="L18">
        <f t="shared" si="0"/>
        <v>971</v>
      </c>
      <c r="M18">
        <f t="shared" ca="1" si="1"/>
        <v>612</v>
      </c>
      <c r="N18">
        <f t="shared" ca="1" si="2"/>
        <v>292</v>
      </c>
      <c r="O18" s="2">
        <f t="shared" ca="1" si="3"/>
        <v>0.63027806385169927</v>
      </c>
    </row>
    <row r="19" spans="1:15" x14ac:dyDescent="0.3">
      <c r="A19" s="3" t="s">
        <v>32</v>
      </c>
      <c r="B19" t="s">
        <v>232</v>
      </c>
      <c r="C19">
        <v>25</v>
      </c>
      <c r="D19" t="s">
        <v>394</v>
      </c>
      <c r="E19">
        <v>564012</v>
      </c>
      <c r="F19">
        <v>949545</v>
      </c>
      <c r="G19">
        <v>120</v>
      </c>
      <c r="H19">
        <v>835</v>
      </c>
      <c r="I19" t="s">
        <v>397</v>
      </c>
      <c r="J19" t="s">
        <v>399</v>
      </c>
      <c r="K19" t="s">
        <v>406</v>
      </c>
      <c r="L19">
        <f t="shared" si="0"/>
        <v>971</v>
      </c>
      <c r="M19">
        <f t="shared" ca="1" si="1"/>
        <v>612</v>
      </c>
      <c r="N19">
        <f t="shared" ca="1" si="2"/>
        <v>292</v>
      </c>
      <c r="O19" s="2">
        <f t="shared" ca="1" si="3"/>
        <v>0.63027806385169927</v>
      </c>
    </row>
    <row r="20" spans="1:15" x14ac:dyDescent="0.3">
      <c r="A20" s="3" t="s">
        <v>33</v>
      </c>
      <c r="B20" t="s">
        <v>233</v>
      </c>
      <c r="C20">
        <v>46</v>
      </c>
      <c r="D20" t="s">
        <v>394</v>
      </c>
      <c r="E20">
        <v>771683</v>
      </c>
      <c r="F20">
        <v>797519</v>
      </c>
      <c r="G20">
        <v>60</v>
      </c>
      <c r="H20">
        <v>487</v>
      </c>
      <c r="I20" t="s">
        <v>398</v>
      </c>
      <c r="J20" t="s">
        <v>401</v>
      </c>
      <c r="K20" t="s">
        <v>404</v>
      </c>
      <c r="L20">
        <f t="shared" si="0"/>
        <v>971</v>
      </c>
      <c r="M20">
        <f t="shared" ca="1" si="1"/>
        <v>612</v>
      </c>
      <c r="N20">
        <f t="shared" ca="1" si="2"/>
        <v>292</v>
      </c>
      <c r="O20" s="2">
        <f t="shared" ca="1" si="3"/>
        <v>0.63027806385169927</v>
      </c>
    </row>
    <row r="21" spans="1:15" x14ac:dyDescent="0.3">
      <c r="A21" s="3" t="s">
        <v>34</v>
      </c>
      <c r="B21" t="s">
        <v>234</v>
      </c>
      <c r="C21">
        <v>49</v>
      </c>
      <c r="D21" t="s">
        <v>395</v>
      </c>
      <c r="E21">
        <v>498569</v>
      </c>
      <c r="F21">
        <v>566801</v>
      </c>
      <c r="G21">
        <v>24</v>
      </c>
      <c r="H21">
        <v>620</v>
      </c>
      <c r="I21" t="s">
        <v>398</v>
      </c>
      <c r="J21" t="s">
        <v>403</v>
      </c>
      <c r="K21" t="s">
        <v>405</v>
      </c>
      <c r="L21">
        <f t="shared" si="0"/>
        <v>971</v>
      </c>
      <c r="M21">
        <f t="shared" ca="1" si="1"/>
        <v>612</v>
      </c>
      <c r="N21">
        <f t="shared" ca="1" si="2"/>
        <v>292</v>
      </c>
      <c r="O21" s="2">
        <f t="shared" ca="1" si="3"/>
        <v>0.63027806385169927</v>
      </c>
    </row>
    <row r="22" spans="1:15" x14ac:dyDescent="0.3">
      <c r="A22" s="3" t="s">
        <v>35</v>
      </c>
      <c r="B22" t="s">
        <v>235</v>
      </c>
      <c r="C22">
        <v>24</v>
      </c>
      <c r="D22" t="s">
        <v>395</v>
      </c>
      <c r="E22">
        <v>827243</v>
      </c>
      <c r="F22">
        <v>1875785</v>
      </c>
      <c r="G22">
        <v>60</v>
      </c>
      <c r="H22">
        <v>414</v>
      </c>
      <c r="I22" t="s">
        <v>397</v>
      </c>
      <c r="J22" t="s">
        <v>399</v>
      </c>
      <c r="K22" t="s">
        <v>405</v>
      </c>
      <c r="L22">
        <f t="shared" si="0"/>
        <v>971</v>
      </c>
      <c r="M22">
        <f t="shared" ca="1" si="1"/>
        <v>612</v>
      </c>
      <c r="N22">
        <f t="shared" ca="1" si="2"/>
        <v>292</v>
      </c>
      <c r="O22" s="2">
        <f t="shared" ca="1" si="3"/>
        <v>0.63027806385169927</v>
      </c>
    </row>
    <row r="23" spans="1:15" x14ac:dyDescent="0.3">
      <c r="A23" s="3" t="s">
        <v>36</v>
      </c>
      <c r="B23" t="s">
        <v>236</v>
      </c>
      <c r="C23">
        <v>22</v>
      </c>
      <c r="D23" t="s">
        <v>395</v>
      </c>
      <c r="E23">
        <v>1140165</v>
      </c>
      <c r="F23">
        <v>148610</v>
      </c>
      <c r="G23">
        <v>180</v>
      </c>
      <c r="H23">
        <v>327</v>
      </c>
      <c r="I23" t="s">
        <v>396</v>
      </c>
      <c r="J23" t="s">
        <v>403</v>
      </c>
      <c r="K23" t="s">
        <v>406</v>
      </c>
      <c r="L23">
        <f t="shared" si="0"/>
        <v>971</v>
      </c>
      <c r="M23">
        <f t="shared" ca="1" si="1"/>
        <v>612</v>
      </c>
      <c r="N23">
        <f t="shared" ca="1" si="2"/>
        <v>292</v>
      </c>
      <c r="O23" s="2">
        <f t="shared" ca="1" si="3"/>
        <v>0.63027806385169927</v>
      </c>
    </row>
    <row r="24" spans="1:15" x14ac:dyDescent="0.3">
      <c r="A24" s="3" t="s">
        <v>37</v>
      </c>
      <c r="B24" t="s">
        <v>237</v>
      </c>
      <c r="C24">
        <v>33</v>
      </c>
      <c r="D24" t="s">
        <v>395</v>
      </c>
      <c r="E24">
        <v>316137</v>
      </c>
      <c r="F24">
        <v>1710905</v>
      </c>
      <c r="G24">
        <v>24</v>
      </c>
      <c r="H24">
        <v>532</v>
      </c>
      <c r="I24" t="s">
        <v>398</v>
      </c>
      <c r="J24" t="s">
        <v>401</v>
      </c>
      <c r="K24" t="s">
        <v>406</v>
      </c>
      <c r="L24">
        <f t="shared" si="0"/>
        <v>971</v>
      </c>
      <c r="M24">
        <f t="shared" ca="1" si="1"/>
        <v>612</v>
      </c>
      <c r="N24">
        <f t="shared" ca="1" si="2"/>
        <v>292</v>
      </c>
      <c r="O24" s="2">
        <f t="shared" ca="1" si="3"/>
        <v>0.63027806385169927</v>
      </c>
    </row>
    <row r="25" spans="1:15" x14ac:dyDescent="0.3">
      <c r="A25" s="3" t="s">
        <v>38</v>
      </c>
      <c r="B25" t="s">
        <v>238</v>
      </c>
      <c r="C25">
        <v>28</v>
      </c>
      <c r="D25" t="s">
        <v>395</v>
      </c>
      <c r="E25">
        <v>889018</v>
      </c>
      <c r="F25">
        <v>1159117</v>
      </c>
      <c r="G25">
        <v>180</v>
      </c>
      <c r="H25">
        <v>520</v>
      </c>
      <c r="I25" t="s">
        <v>396</v>
      </c>
      <c r="J25" t="s">
        <v>399</v>
      </c>
      <c r="K25" t="s">
        <v>404</v>
      </c>
      <c r="L25">
        <f t="shared" si="0"/>
        <v>971</v>
      </c>
      <c r="M25">
        <f t="shared" ca="1" si="1"/>
        <v>612</v>
      </c>
      <c r="N25">
        <f t="shared" ca="1" si="2"/>
        <v>292</v>
      </c>
      <c r="O25" s="2">
        <f t="shared" ca="1" si="3"/>
        <v>0.63027806385169927</v>
      </c>
    </row>
    <row r="26" spans="1:15" x14ac:dyDescent="0.3">
      <c r="A26" s="3" t="s">
        <v>39</v>
      </c>
      <c r="B26" t="s">
        <v>239</v>
      </c>
      <c r="C26">
        <v>59</v>
      </c>
      <c r="D26" t="s">
        <v>395</v>
      </c>
      <c r="E26">
        <v>1254827</v>
      </c>
      <c r="F26">
        <v>1886723</v>
      </c>
      <c r="G26">
        <v>12</v>
      </c>
      <c r="H26">
        <v>342</v>
      </c>
      <c r="I26" t="s">
        <v>397</v>
      </c>
      <c r="J26" t="s">
        <v>401</v>
      </c>
      <c r="K26" t="s">
        <v>405</v>
      </c>
      <c r="L26">
        <f t="shared" si="0"/>
        <v>971</v>
      </c>
      <c r="M26">
        <f t="shared" ca="1" si="1"/>
        <v>612</v>
      </c>
      <c r="N26">
        <f t="shared" ca="1" si="2"/>
        <v>292</v>
      </c>
      <c r="O26" s="2">
        <f t="shared" ca="1" si="3"/>
        <v>0.63027806385169927</v>
      </c>
    </row>
    <row r="27" spans="1:15" x14ac:dyDescent="0.3">
      <c r="A27" s="3" t="s">
        <v>40</v>
      </c>
      <c r="B27" t="s">
        <v>240</v>
      </c>
      <c r="C27">
        <v>50</v>
      </c>
      <c r="D27" t="s">
        <v>394</v>
      </c>
      <c r="E27">
        <v>1306206</v>
      </c>
      <c r="F27">
        <v>1975246</v>
      </c>
      <c r="G27">
        <v>24</v>
      </c>
      <c r="H27">
        <v>474</v>
      </c>
      <c r="I27" t="s">
        <v>398</v>
      </c>
      <c r="J27" t="s">
        <v>401</v>
      </c>
      <c r="K27" t="s">
        <v>404</v>
      </c>
      <c r="L27">
        <f t="shared" si="0"/>
        <v>971</v>
      </c>
      <c r="M27">
        <f t="shared" ca="1" si="1"/>
        <v>612</v>
      </c>
      <c r="N27">
        <f t="shared" ca="1" si="2"/>
        <v>292</v>
      </c>
      <c r="O27" s="2">
        <f t="shared" ca="1" si="3"/>
        <v>0.63027806385169927</v>
      </c>
    </row>
    <row r="28" spans="1:15" x14ac:dyDescent="0.3">
      <c r="A28" s="3" t="s">
        <v>41</v>
      </c>
      <c r="B28" t="s">
        <v>241</v>
      </c>
      <c r="C28">
        <v>40</v>
      </c>
      <c r="D28" t="s">
        <v>394</v>
      </c>
      <c r="E28">
        <v>908829</v>
      </c>
      <c r="F28">
        <v>1242414</v>
      </c>
      <c r="G28">
        <v>60</v>
      </c>
      <c r="H28">
        <v>560</v>
      </c>
      <c r="I28" t="s">
        <v>398</v>
      </c>
      <c r="J28" t="s">
        <v>400</v>
      </c>
      <c r="K28" t="s">
        <v>404</v>
      </c>
      <c r="L28">
        <f t="shared" si="0"/>
        <v>971</v>
      </c>
      <c r="M28">
        <f t="shared" ca="1" si="1"/>
        <v>612</v>
      </c>
      <c r="N28">
        <f t="shared" ca="1" si="2"/>
        <v>292</v>
      </c>
      <c r="O28" s="2">
        <f t="shared" ca="1" si="3"/>
        <v>0.63027806385169927</v>
      </c>
    </row>
    <row r="29" spans="1:15" x14ac:dyDescent="0.3">
      <c r="A29" s="3" t="s">
        <v>42</v>
      </c>
      <c r="B29" t="s">
        <v>242</v>
      </c>
      <c r="C29">
        <v>59</v>
      </c>
      <c r="D29" t="s">
        <v>395</v>
      </c>
      <c r="E29">
        <v>288717</v>
      </c>
      <c r="F29">
        <v>1509175</v>
      </c>
      <c r="G29">
        <v>180</v>
      </c>
      <c r="H29">
        <v>775</v>
      </c>
      <c r="I29" t="s">
        <v>397</v>
      </c>
      <c r="J29" t="s">
        <v>400</v>
      </c>
      <c r="K29" t="s">
        <v>405</v>
      </c>
      <c r="L29">
        <f t="shared" si="0"/>
        <v>971</v>
      </c>
      <c r="M29">
        <f t="shared" ca="1" si="1"/>
        <v>612</v>
      </c>
      <c r="N29">
        <f t="shared" ca="1" si="2"/>
        <v>292</v>
      </c>
      <c r="O29" s="2">
        <f t="shared" ca="1" si="3"/>
        <v>0.63027806385169927</v>
      </c>
    </row>
    <row r="30" spans="1:15" x14ac:dyDescent="0.3">
      <c r="A30" s="3" t="s">
        <v>43</v>
      </c>
      <c r="B30" t="s">
        <v>243</v>
      </c>
      <c r="C30">
        <v>51</v>
      </c>
      <c r="D30" t="s">
        <v>395</v>
      </c>
      <c r="E30">
        <v>450501</v>
      </c>
      <c r="F30">
        <v>1209502</v>
      </c>
      <c r="G30">
        <v>24</v>
      </c>
      <c r="H30">
        <v>482</v>
      </c>
      <c r="I30" t="s">
        <v>398</v>
      </c>
      <c r="J30" t="s">
        <v>402</v>
      </c>
      <c r="K30" t="s">
        <v>406</v>
      </c>
      <c r="L30">
        <f t="shared" si="0"/>
        <v>971</v>
      </c>
      <c r="M30">
        <f t="shared" ca="1" si="1"/>
        <v>612</v>
      </c>
      <c r="N30">
        <f t="shared" ca="1" si="2"/>
        <v>292</v>
      </c>
      <c r="O30" s="2">
        <f t="shared" ca="1" si="3"/>
        <v>0.63027806385169927</v>
      </c>
    </row>
    <row r="31" spans="1:15" x14ac:dyDescent="0.3">
      <c r="A31" s="3" t="s">
        <v>44</v>
      </c>
      <c r="B31" t="s">
        <v>244</v>
      </c>
      <c r="C31">
        <v>45</v>
      </c>
      <c r="D31" t="s">
        <v>395</v>
      </c>
      <c r="E31">
        <v>999175</v>
      </c>
      <c r="F31">
        <v>1604147</v>
      </c>
      <c r="G31">
        <v>24</v>
      </c>
      <c r="H31">
        <v>840</v>
      </c>
      <c r="I31" t="s">
        <v>396</v>
      </c>
      <c r="J31" t="s">
        <v>400</v>
      </c>
      <c r="K31" t="s">
        <v>405</v>
      </c>
      <c r="L31">
        <f t="shared" si="0"/>
        <v>971</v>
      </c>
      <c r="M31">
        <f t="shared" ca="1" si="1"/>
        <v>612</v>
      </c>
      <c r="N31">
        <f t="shared" ca="1" si="2"/>
        <v>292</v>
      </c>
      <c r="O31" s="2">
        <f t="shared" ca="1" si="3"/>
        <v>0.63027806385169927</v>
      </c>
    </row>
    <row r="32" spans="1:15" x14ac:dyDescent="0.3">
      <c r="A32" s="3" t="s">
        <v>45</v>
      </c>
      <c r="B32" t="s">
        <v>241</v>
      </c>
      <c r="C32">
        <v>33</v>
      </c>
      <c r="D32" t="s">
        <v>394</v>
      </c>
      <c r="E32">
        <v>293472</v>
      </c>
      <c r="F32">
        <v>616721</v>
      </c>
      <c r="G32">
        <v>60</v>
      </c>
      <c r="H32">
        <v>585</v>
      </c>
      <c r="I32" t="s">
        <v>397</v>
      </c>
      <c r="J32" t="s">
        <v>402</v>
      </c>
      <c r="K32" t="s">
        <v>406</v>
      </c>
      <c r="L32">
        <f t="shared" si="0"/>
        <v>971</v>
      </c>
      <c r="M32">
        <f t="shared" ca="1" si="1"/>
        <v>612</v>
      </c>
      <c r="N32">
        <f t="shared" ca="1" si="2"/>
        <v>292</v>
      </c>
      <c r="O32" s="2">
        <f t="shared" ca="1" si="3"/>
        <v>0.63027806385169927</v>
      </c>
    </row>
    <row r="33" spans="1:15" x14ac:dyDescent="0.3">
      <c r="A33" s="3" t="s">
        <v>46</v>
      </c>
      <c r="B33" t="s">
        <v>245</v>
      </c>
      <c r="C33">
        <v>31</v>
      </c>
      <c r="D33" t="s">
        <v>394</v>
      </c>
      <c r="E33">
        <v>734272</v>
      </c>
      <c r="F33">
        <v>1098804</v>
      </c>
      <c r="G33">
        <v>120</v>
      </c>
      <c r="H33">
        <v>528</v>
      </c>
      <c r="I33" t="s">
        <v>398</v>
      </c>
      <c r="J33" t="s">
        <v>400</v>
      </c>
      <c r="K33" t="s">
        <v>405</v>
      </c>
      <c r="L33">
        <f t="shared" si="0"/>
        <v>971</v>
      </c>
      <c r="M33">
        <f t="shared" ca="1" si="1"/>
        <v>612</v>
      </c>
      <c r="N33">
        <f t="shared" ca="1" si="2"/>
        <v>292</v>
      </c>
      <c r="O33" s="2">
        <f t="shared" ca="1" si="3"/>
        <v>0.63027806385169927</v>
      </c>
    </row>
    <row r="34" spans="1:15" x14ac:dyDescent="0.3">
      <c r="A34" s="3" t="s">
        <v>47</v>
      </c>
      <c r="B34" t="s">
        <v>246</v>
      </c>
      <c r="C34">
        <v>33</v>
      </c>
      <c r="D34" t="s">
        <v>395</v>
      </c>
      <c r="E34">
        <v>678330</v>
      </c>
      <c r="F34">
        <v>192115</v>
      </c>
      <c r="G34">
        <v>180</v>
      </c>
      <c r="H34">
        <v>580</v>
      </c>
      <c r="I34" t="s">
        <v>398</v>
      </c>
      <c r="J34" t="s">
        <v>402</v>
      </c>
      <c r="K34" t="s">
        <v>406</v>
      </c>
      <c r="L34">
        <f t="shared" si="0"/>
        <v>971</v>
      </c>
      <c r="M34">
        <f t="shared" ca="1" si="1"/>
        <v>612</v>
      </c>
      <c r="N34">
        <f t="shared" ca="1" si="2"/>
        <v>292</v>
      </c>
      <c r="O34" s="2">
        <f t="shared" ca="1" si="3"/>
        <v>0.63027806385169927</v>
      </c>
    </row>
    <row r="35" spans="1:15" x14ac:dyDescent="0.3">
      <c r="A35" s="3" t="s">
        <v>48</v>
      </c>
      <c r="B35" t="s">
        <v>247</v>
      </c>
      <c r="C35">
        <v>39</v>
      </c>
      <c r="D35" t="s">
        <v>394</v>
      </c>
      <c r="E35">
        <v>285715</v>
      </c>
      <c r="F35">
        <v>395374</v>
      </c>
      <c r="G35">
        <v>60</v>
      </c>
      <c r="H35">
        <v>302</v>
      </c>
      <c r="I35" t="s">
        <v>397</v>
      </c>
      <c r="J35" t="s">
        <v>400</v>
      </c>
      <c r="K35" t="s">
        <v>404</v>
      </c>
      <c r="L35">
        <f t="shared" si="0"/>
        <v>971</v>
      </c>
      <c r="M35">
        <f t="shared" ca="1" si="1"/>
        <v>612</v>
      </c>
      <c r="N35">
        <f t="shared" ca="1" si="2"/>
        <v>292</v>
      </c>
      <c r="O35" s="2">
        <f t="shared" ca="1" si="3"/>
        <v>0.63027806385169927</v>
      </c>
    </row>
    <row r="36" spans="1:15" x14ac:dyDescent="0.3">
      <c r="A36" s="3" t="s">
        <v>49</v>
      </c>
      <c r="B36" t="s">
        <v>248</v>
      </c>
      <c r="C36">
        <v>47</v>
      </c>
      <c r="D36" t="s">
        <v>395</v>
      </c>
      <c r="E36">
        <v>1481622</v>
      </c>
      <c r="F36">
        <v>1548048</v>
      </c>
      <c r="G36">
        <v>180</v>
      </c>
      <c r="H36">
        <v>502</v>
      </c>
      <c r="I36" t="s">
        <v>398</v>
      </c>
      <c r="J36" t="s">
        <v>401</v>
      </c>
      <c r="K36" t="s">
        <v>404</v>
      </c>
      <c r="L36">
        <f t="shared" si="0"/>
        <v>971</v>
      </c>
      <c r="M36">
        <f t="shared" ca="1" si="1"/>
        <v>612</v>
      </c>
      <c r="N36">
        <f t="shared" ca="1" si="2"/>
        <v>292</v>
      </c>
      <c r="O36" s="2">
        <f t="shared" ca="1" si="3"/>
        <v>0.63027806385169927</v>
      </c>
    </row>
    <row r="37" spans="1:15" x14ac:dyDescent="0.3">
      <c r="A37" s="3" t="s">
        <v>50</v>
      </c>
      <c r="B37" t="s">
        <v>249</v>
      </c>
      <c r="C37">
        <v>37</v>
      </c>
      <c r="D37" t="s">
        <v>395</v>
      </c>
      <c r="E37">
        <v>1393552</v>
      </c>
      <c r="F37">
        <v>900839</v>
      </c>
      <c r="G37">
        <v>60</v>
      </c>
      <c r="H37">
        <v>664</v>
      </c>
      <c r="I37" t="s">
        <v>396</v>
      </c>
      <c r="J37" t="s">
        <v>401</v>
      </c>
      <c r="K37" t="s">
        <v>405</v>
      </c>
      <c r="L37">
        <f t="shared" si="0"/>
        <v>971</v>
      </c>
      <c r="M37">
        <f t="shared" ca="1" si="1"/>
        <v>612</v>
      </c>
      <c r="N37">
        <f t="shared" ca="1" si="2"/>
        <v>292</v>
      </c>
      <c r="O37" s="2">
        <f t="shared" ca="1" si="3"/>
        <v>0.63027806385169927</v>
      </c>
    </row>
    <row r="38" spans="1:15" x14ac:dyDescent="0.3">
      <c r="A38" s="3" t="s">
        <v>51</v>
      </c>
      <c r="B38" t="s">
        <v>250</v>
      </c>
      <c r="C38">
        <v>21</v>
      </c>
      <c r="D38" t="s">
        <v>395</v>
      </c>
      <c r="E38">
        <v>914232</v>
      </c>
      <c r="F38">
        <v>1834868</v>
      </c>
      <c r="G38">
        <v>120</v>
      </c>
      <c r="H38">
        <v>306</v>
      </c>
      <c r="I38" t="s">
        <v>397</v>
      </c>
      <c r="J38" t="s">
        <v>402</v>
      </c>
      <c r="K38" t="s">
        <v>404</v>
      </c>
      <c r="L38">
        <f t="shared" si="0"/>
        <v>971</v>
      </c>
      <c r="M38">
        <f t="shared" ca="1" si="1"/>
        <v>612</v>
      </c>
      <c r="N38">
        <f t="shared" ca="1" si="2"/>
        <v>292</v>
      </c>
      <c r="O38" s="2">
        <f t="shared" ca="1" si="3"/>
        <v>0.63027806385169927</v>
      </c>
    </row>
    <row r="39" spans="1:15" x14ac:dyDescent="0.3">
      <c r="A39" s="3" t="s">
        <v>52</v>
      </c>
      <c r="B39" t="s">
        <v>251</v>
      </c>
      <c r="C39">
        <v>39</v>
      </c>
      <c r="D39" t="s">
        <v>394</v>
      </c>
      <c r="E39">
        <v>273243</v>
      </c>
      <c r="F39">
        <v>1698350</v>
      </c>
      <c r="G39">
        <v>60</v>
      </c>
      <c r="H39">
        <v>661</v>
      </c>
      <c r="I39" t="s">
        <v>398</v>
      </c>
      <c r="J39" t="s">
        <v>402</v>
      </c>
      <c r="K39" t="s">
        <v>405</v>
      </c>
      <c r="L39">
        <f t="shared" si="0"/>
        <v>971</v>
      </c>
      <c r="M39">
        <f t="shared" ca="1" si="1"/>
        <v>612</v>
      </c>
      <c r="N39">
        <f t="shared" ca="1" si="2"/>
        <v>292</v>
      </c>
      <c r="O39" s="2">
        <f t="shared" ca="1" si="3"/>
        <v>0.63027806385169927</v>
      </c>
    </row>
    <row r="40" spans="1:15" x14ac:dyDescent="0.3">
      <c r="A40" s="3" t="s">
        <v>53</v>
      </c>
      <c r="B40" t="s">
        <v>252</v>
      </c>
      <c r="C40">
        <v>48</v>
      </c>
      <c r="D40" t="s">
        <v>395</v>
      </c>
      <c r="E40">
        <v>1316012</v>
      </c>
      <c r="F40">
        <v>1022828</v>
      </c>
      <c r="G40">
        <v>60</v>
      </c>
      <c r="H40">
        <v>304</v>
      </c>
      <c r="I40" t="s">
        <v>397</v>
      </c>
      <c r="J40" t="s">
        <v>399</v>
      </c>
      <c r="K40" t="s">
        <v>406</v>
      </c>
      <c r="L40">
        <f t="shared" si="0"/>
        <v>971</v>
      </c>
      <c r="M40">
        <f t="shared" ca="1" si="1"/>
        <v>612</v>
      </c>
      <c r="N40">
        <f t="shared" ca="1" si="2"/>
        <v>292</v>
      </c>
      <c r="O40" s="2">
        <f t="shared" ca="1" si="3"/>
        <v>0.63027806385169927</v>
      </c>
    </row>
    <row r="41" spans="1:15" x14ac:dyDescent="0.3">
      <c r="A41" s="3" t="s">
        <v>54</v>
      </c>
      <c r="B41" t="s">
        <v>253</v>
      </c>
      <c r="C41">
        <v>22</v>
      </c>
      <c r="D41" t="s">
        <v>395</v>
      </c>
      <c r="E41">
        <v>1382402</v>
      </c>
      <c r="F41">
        <v>1953760</v>
      </c>
      <c r="G41">
        <v>120</v>
      </c>
      <c r="H41">
        <v>456</v>
      </c>
      <c r="I41" t="s">
        <v>396</v>
      </c>
      <c r="J41" t="s">
        <v>400</v>
      </c>
      <c r="K41" t="s">
        <v>406</v>
      </c>
      <c r="L41">
        <f t="shared" si="0"/>
        <v>971</v>
      </c>
      <c r="M41">
        <f t="shared" ca="1" si="1"/>
        <v>612</v>
      </c>
      <c r="N41">
        <f t="shared" ca="1" si="2"/>
        <v>292</v>
      </c>
      <c r="O41" s="2">
        <f t="shared" ca="1" si="3"/>
        <v>0.63027806385169927</v>
      </c>
    </row>
    <row r="42" spans="1:15" x14ac:dyDescent="0.3">
      <c r="A42" s="3" t="s">
        <v>55</v>
      </c>
      <c r="B42" t="s">
        <v>254</v>
      </c>
      <c r="C42">
        <v>54</v>
      </c>
      <c r="D42" t="s">
        <v>395</v>
      </c>
      <c r="E42">
        <v>638612</v>
      </c>
      <c r="F42">
        <v>740714</v>
      </c>
      <c r="G42">
        <v>120</v>
      </c>
      <c r="H42">
        <v>401</v>
      </c>
      <c r="I42" t="s">
        <v>396</v>
      </c>
      <c r="J42" t="s">
        <v>403</v>
      </c>
      <c r="K42" t="s">
        <v>406</v>
      </c>
      <c r="L42">
        <f t="shared" si="0"/>
        <v>971</v>
      </c>
      <c r="M42">
        <f t="shared" ca="1" si="1"/>
        <v>612</v>
      </c>
      <c r="N42">
        <f t="shared" ca="1" si="2"/>
        <v>292</v>
      </c>
      <c r="O42" s="2">
        <f t="shared" ca="1" si="3"/>
        <v>0.63027806385169927</v>
      </c>
    </row>
    <row r="43" spans="1:15" x14ac:dyDescent="0.3">
      <c r="A43" s="3" t="s">
        <v>56</v>
      </c>
      <c r="B43" t="s">
        <v>255</v>
      </c>
      <c r="C43">
        <v>26</v>
      </c>
      <c r="D43" t="s">
        <v>395</v>
      </c>
      <c r="E43">
        <v>626934</v>
      </c>
      <c r="F43">
        <v>243102</v>
      </c>
      <c r="G43">
        <v>180</v>
      </c>
      <c r="H43">
        <v>369</v>
      </c>
      <c r="I43" t="s">
        <v>396</v>
      </c>
      <c r="J43" t="s">
        <v>402</v>
      </c>
      <c r="K43" t="s">
        <v>405</v>
      </c>
      <c r="L43">
        <f t="shared" si="0"/>
        <v>971</v>
      </c>
      <c r="M43">
        <f t="shared" ca="1" si="1"/>
        <v>612</v>
      </c>
      <c r="N43">
        <f t="shared" ca="1" si="2"/>
        <v>292</v>
      </c>
      <c r="O43" s="2">
        <f t="shared" ca="1" si="3"/>
        <v>0.63027806385169927</v>
      </c>
    </row>
    <row r="44" spans="1:15" x14ac:dyDescent="0.3">
      <c r="A44" s="3" t="s">
        <v>57</v>
      </c>
      <c r="B44" t="s">
        <v>256</v>
      </c>
      <c r="C44">
        <v>52</v>
      </c>
      <c r="D44" t="s">
        <v>394</v>
      </c>
      <c r="E44">
        <v>947421</v>
      </c>
      <c r="F44">
        <v>1160974</v>
      </c>
      <c r="G44">
        <v>36</v>
      </c>
      <c r="H44">
        <v>540</v>
      </c>
      <c r="I44" t="s">
        <v>396</v>
      </c>
      <c r="J44" t="s">
        <v>402</v>
      </c>
      <c r="K44" t="s">
        <v>404</v>
      </c>
      <c r="L44">
        <f t="shared" si="0"/>
        <v>971</v>
      </c>
      <c r="M44">
        <f t="shared" ca="1" si="1"/>
        <v>612</v>
      </c>
      <c r="N44">
        <f t="shared" ca="1" si="2"/>
        <v>292</v>
      </c>
      <c r="O44" s="2">
        <f t="shared" ca="1" si="3"/>
        <v>0.63027806385169927</v>
      </c>
    </row>
    <row r="45" spans="1:15" x14ac:dyDescent="0.3">
      <c r="A45" s="3" t="s">
        <v>58</v>
      </c>
      <c r="B45" t="s">
        <v>257</v>
      </c>
      <c r="C45">
        <v>57</v>
      </c>
      <c r="D45" t="s">
        <v>394</v>
      </c>
      <c r="E45">
        <v>225133</v>
      </c>
      <c r="F45">
        <v>88834</v>
      </c>
      <c r="G45">
        <v>60</v>
      </c>
      <c r="H45">
        <v>501</v>
      </c>
      <c r="I45" t="s">
        <v>397</v>
      </c>
      <c r="J45" t="s">
        <v>399</v>
      </c>
      <c r="K45" t="s">
        <v>405</v>
      </c>
      <c r="L45">
        <f t="shared" si="0"/>
        <v>971</v>
      </c>
      <c r="M45">
        <f t="shared" ca="1" si="1"/>
        <v>612</v>
      </c>
      <c r="N45">
        <f t="shared" ca="1" si="2"/>
        <v>292</v>
      </c>
      <c r="O45" s="2">
        <f t="shared" ca="1" si="3"/>
        <v>0.63027806385169927</v>
      </c>
    </row>
    <row r="46" spans="1:15" x14ac:dyDescent="0.3">
      <c r="A46" s="3" t="s">
        <v>59</v>
      </c>
      <c r="B46" t="s">
        <v>258</v>
      </c>
      <c r="C46">
        <v>39</v>
      </c>
      <c r="D46" t="s">
        <v>395</v>
      </c>
      <c r="E46">
        <v>1186480</v>
      </c>
      <c r="F46">
        <v>174012</v>
      </c>
      <c r="G46">
        <v>36</v>
      </c>
      <c r="H46">
        <v>847</v>
      </c>
      <c r="I46" t="s">
        <v>396</v>
      </c>
      <c r="J46" t="s">
        <v>400</v>
      </c>
      <c r="K46" t="s">
        <v>406</v>
      </c>
      <c r="L46">
        <f t="shared" si="0"/>
        <v>971</v>
      </c>
      <c r="M46">
        <f t="shared" ca="1" si="1"/>
        <v>612</v>
      </c>
      <c r="N46">
        <f t="shared" ca="1" si="2"/>
        <v>292</v>
      </c>
      <c r="O46" s="2">
        <f t="shared" ca="1" si="3"/>
        <v>0.63027806385169927</v>
      </c>
    </row>
    <row r="47" spans="1:15" x14ac:dyDescent="0.3">
      <c r="A47" s="3" t="s">
        <v>60</v>
      </c>
      <c r="B47" t="s">
        <v>259</v>
      </c>
      <c r="C47">
        <v>33</v>
      </c>
      <c r="D47" t="s">
        <v>394</v>
      </c>
      <c r="E47">
        <v>995846</v>
      </c>
      <c r="F47">
        <v>286073</v>
      </c>
      <c r="G47">
        <v>60</v>
      </c>
      <c r="H47">
        <v>775</v>
      </c>
      <c r="I47" t="s">
        <v>396</v>
      </c>
      <c r="J47" t="s">
        <v>403</v>
      </c>
      <c r="K47" t="s">
        <v>405</v>
      </c>
      <c r="L47">
        <f t="shared" si="0"/>
        <v>971</v>
      </c>
      <c r="M47">
        <f t="shared" ca="1" si="1"/>
        <v>612</v>
      </c>
      <c r="N47">
        <f t="shared" ca="1" si="2"/>
        <v>292</v>
      </c>
      <c r="O47" s="2">
        <f t="shared" ca="1" si="3"/>
        <v>0.63027806385169927</v>
      </c>
    </row>
    <row r="48" spans="1:15" x14ac:dyDescent="0.3">
      <c r="A48" s="3" t="s">
        <v>61</v>
      </c>
      <c r="B48" t="s">
        <v>260</v>
      </c>
      <c r="C48">
        <v>49</v>
      </c>
      <c r="D48" t="s">
        <v>394</v>
      </c>
      <c r="E48">
        <v>771237</v>
      </c>
      <c r="F48">
        <v>1014944</v>
      </c>
      <c r="G48">
        <v>120</v>
      </c>
      <c r="H48">
        <v>481</v>
      </c>
      <c r="I48" t="s">
        <v>396</v>
      </c>
      <c r="J48" t="s">
        <v>399</v>
      </c>
      <c r="K48" t="s">
        <v>406</v>
      </c>
      <c r="L48">
        <f t="shared" si="0"/>
        <v>971</v>
      </c>
      <c r="M48">
        <f t="shared" ca="1" si="1"/>
        <v>612</v>
      </c>
      <c r="N48">
        <f t="shared" ca="1" si="2"/>
        <v>292</v>
      </c>
      <c r="O48" s="2">
        <f t="shared" ca="1" si="3"/>
        <v>0.63027806385169927</v>
      </c>
    </row>
    <row r="49" spans="1:15" x14ac:dyDescent="0.3">
      <c r="A49" s="3" t="s">
        <v>62</v>
      </c>
      <c r="B49" t="s">
        <v>261</v>
      </c>
      <c r="C49">
        <v>50</v>
      </c>
      <c r="D49" t="s">
        <v>394</v>
      </c>
      <c r="E49">
        <v>1278600</v>
      </c>
      <c r="F49">
        <v>1153982</v>
      </c>
      <c r="G49">
        <v>36</v>
      </c>
      <c r="H49">
        <v>810</v>
      </c>
      <c r="I49" t="s">
        <v>398</v>
      </c>
      <c r="J49" t="s">
        <v>400</v>
      </c>
      <c r="K49" t="s">
        <v>405</v>
      </c>
      <c r="L49">
        <f t="shared" si="0"/>
        <v>971</v>
      </c>
      <c r="M49">
        <f t="shared" ca="1" si="1"/>
        <v>612</v>
      </c>
      <c r="N49">
        <f t="shared" ca="1" si="2"/>
        <v>292</v>
      </c>
      <c r="O49" s="2">
        <f t="shared" ca="1" si="3"/>
        <v>0.63027806385169927</v>
      </c>
    </row>
    <row r="50" spans="1:15" x14ac:dyDescent="0.3">
      <c r="A50" s="3" t="s">
        <v>63</v>
      </c>
      <c r="B50" t="s">
        <v>262</v>
      </c>
      <c r="C50">
        <v>57</v>
      </c>
      <c r="D50" t="s">
        <v>395</v>
      </c>
      <c r="E50">
        <v>458663</v>
      </c>
      <c r="F50">
        <v>1653571</v>
      </c>
      <c r="G50">
        <v>36</v>
      </c>
      <c r="H50">
        <v>328</v>
      </c>
      <c r="I50" t="s">
        <v>397</v>
      </c>
      <c r="J50" t="s">
        <v>399</v>
      </c>
      <c r="K50" t="s">
        <v>406</v>
      </c>
      <c r="L50">
        <f t="shared" si="0"/>
        <v>971</v>
      </c>
      <c r="M50">
        <f t="shared" ca="1" si="1"/>
        <v>612</v>
      </c>
      <c r="N50">
        <f t="shared" ca="1" si="2"/>
        <v>292</v>
      </c>
      <c r="O50" s="2">
        <f t="shared" ca="1" si="3"/>
        <v>0.63027806385169927</v>
      </c>
    </row>
    <row r="51" spans="1:15" x14ac:dyDescent="0.3">
      <c r="A51" s="3" t="s">
        <v>64</v>
      </c>
      <c r="B51" t="s">
        <v>263</v>
      </c>
      <c r="C51">
        <v>39</v>
      </c>
      <c r="D51" t="s">
        <v>394</v>
      </c>
      <c r="E51">
        <v>324887</v>
      </c>
      <c r="F51">
        <v>747255</v>
      </c>
      <c r="G51">
        <v>120</v>
      </c>
      <c r="H51">
        <v>592</v>
      </c>
      <c r="I51" t="s">
        <v>396</v>
      </c>
      <c r="J51" t="s">
        <v>401</v>
      </c>
      <c r="K51" t="s">
        <v>404</v>
      </c>
      <c r="L51">
        <f t="shared" si="0"/>
        <v>971</v>
      </c>
      <c r="M51">
        <f t="shared" ca="1" si="1"/>
        <v>612</v>
      </c>
      <c r="N51">
        <f t="shared" ca="1" si="2"/>
        <v>292</v>
      </c>
      <c r="O51" s="2">
        <f t="shared" ca="1" si="3"/>
        <v>0.63027806385169927</v>
      </c>
    </row>
    <row r="52" spans="1:15" x14ac:dyDescent="0.3">
      <c r="A52" s="3" t="s">
        <v>65</v>
      </c>
      <c r="B52" t="s">
        <v>264</v>
      </c>
      <c r="C52">
        <v>28</v>
      </c>
      <c r="D52" t="s">
        <v>394</v>
      </c>
      <c r="E52">
        <v>709290</v>
      </c>
      <c r="F52">
        <v>934081</v>
      </c>
      <c r="G52">
        <v>60</v>
      </c>
      <c r="H52">
        <v>801</v>
      </c>
      <c r="I52" t="s">
        <v>398</v>
      </c>
      <c r="J52" t="s">
        <v>403</v>
      </c>
      <c r="K52" t="s">
        <v>405</v>
      </c>
      <c r="L52">
        <f t="shared" si="0"/>
        <v>971</v>
      </c>
      <c r="M52">
        <f t="shared" ca="1" si="1"/>
        <v>612</v>
      </c>
      <c r="N52">
        <f t="shared" ca="1" si="2"/>
        <v>292</v>
      </c>
      <c r="O52" s="2">
        <f t="shared" ca="1" si="3"/>
        <v>0.63027806385169927</v>
      </c>
    </row>
    <row r="53" spans="1:15" x14ac:dyDescent="0.3">
      <c r="A53" s="3" t="s">
        <v>66</v>
      </c>
      <c r="B53" t="s">
        <v>265</v>
      </c>
      <c r="C53">
        <v>58</v>
      </c>
      <c r="D53" t="s">
        <v>395</v>
      </c>
      <c r="E53">
        <v>1272341</v>
      </c>
      <c r="F53">
        <v>70899</v>
      </c>
      <c r="G53">
        <v>120</v>
      </c>
      <c r="H53">
        <v>399</v>
      </c>
      <c r="I53" t="s">
        <v>397</v>
      </c>
      <c r="J53" t="s">
        <v>400</v>
      </c>
      <c r="K53" t="s">
        <v>404</v>
      </c>
      <c r="L53">
        <f t="shared" si="0"/>
        <v>971</v>
      </c>
      <c r="M53">
        <f t="shared" ca="1" si="1"/>
        <v>612</v>
      </c>
      <c r="N53">
        <f t="shared" ca="1" si="2"/>
        <v>292</v>
      </c>
      <c r="O53" s="2">
        <f t="shared" ca="1" si="3"/>
        <v>0.63027806385169927</v>
      </c>
    </row>
    <row r="54" spans="1:15" x14ac:dyDescent="0.3">
      <c r="A54" s="3" t="s">
        <v>67</v>
      </c>
      <c r="B54" t="s">
        <v>266</v>
      </c>
      <c r="C54">
        <v>22</v>
      </c>
      <c r="D54" t="s">
        <v>394</v>
      </c>
      <c r="E54">
        <v>953339</v>
      </c>
      <c r="F54">
        <v>315685</v>
      </c>
      <c r="G54">
        <v>180</v>
      </c>
      <c r="H54">
        <v>616</v>
      </c>
      <c r="I54" t="s">
        <v>397</v>
      </c>
      <c r="J54" t="s">
        <v>402</v>
      </c>
      <c r="K54" t="s">
        <v>404</v>
      </c>
      <c r="L54">
        <f t="shared" si="0"/>
        <v>971</v>
      </c>
      <c r="M54">
        <f t="shared" ca="1" si="1"/>
        <v>612</v>
      </c>
      <c r="N54">
        <f t="shared" ca="1" si="2"/>
        <v>292</v>
      </c>
      <c r="O54" s="2">
        <f t="shared" ca="1" si="3"/>
        <v>0.63027806385169927</v>
      </c>
    </row>
    <row r="55" spans="1:15" x14ac:dyDescent="0.3">
      <c r="A55" s="3" t="s">
        <v>68</v>
      </c>
      <c r="B55" t="s">
        <v>267</v>
      </c>
      <c r="C55">
        <v>46</v>
      </c>
      <c r="D55" t="s">
        <v>395</v>
      </c>
      <c r="E55">
        <v>1326159</v>
      </c>
      <c r="F55">
        <v>1783292</v>
      </c>
      <c r="G55">
        <v>36</v>
      </c>
      <c r="H55">
        <v>316</v>
      </c>
      <c r="I55" t="s">
        <v>397</v>
      </c>
      <c r="J55" t="s">
        <v>401</v>
      </c>
      <c r="K55" t="s">
        <v>406</v>
      </c>
      <c r="L55">
        <f t="shared" si="0"/>
        <v>971</v>
      </c>
      <c r="M55">
        <f t="shared" ca="1" si="1"/>
        <v>612</v>
      </c>
      <c r="N55">
        <f t="shared" ca="1" si="2"/>
        <v>292</v>
      </c>
      <c r="O55" s="2">
        <f t="shared" ca="1" si="3"/>
        <v>0.63027806385169927</v>
      </c>
    </row>
    <row r="56" spans="1:15" x14ac:dyDescent="0.3">
      <c r="A56" s="3" t="s">
        <v>69</v>
      </c>
      <c r="B56" t="s">
        <v>268</v>
      </c>
      <c r="C56">
        <v>37</v>
      </c>
      <c r="D56" t="s">
        <v>394</v>
      </c>
      <c r="E56">
        <v>890370</v>
      </c>
      <c r="F56">
        <v>1120804</v>
      </c>
      <c r="G56">
        <v>12</v>
      </c>
      <c r="H56">
        <v>888</v>
      </c>
      <c r="I56" t="s">
        <v>396</v>
      </c>
      <c r="J56" t="s">
        <v>400</v>
      </c>
      <c r="K56" t="s">
        <v>404</v>
      </c>
      <c r="L56">
        <f t="shared" si="0"/>
        <v>971</v>
      </c>
      <c r="M56">
        <f t="shared" ca="1" si="1"/>
        <v>612</v>
      </c>
      <c r="N56">
        <f t="shared" ca="1" si="2"/>
        <v>292</v>
      </c>
      <c r="O56" s="2">
        <f t="shared" ca="1" si="3"/>
        <v>0.63027806385169927</v>
      </c>
    </row>
    <row r="57" spans="1:15" x14ac:dyDescent="0.3">
      <c r="A57" s="3" t="s">
        <v>70</v>
      </c>
      <c r="B57" t="s">
        <v>269</v>
      </c>
      <c r="C57">
        <v>49</v>
      </c>
      <c r="D57" t="s">
        <v>394</v>
      </c>
      <c r="E57">
        <v>664852</v>
      </c>
      <c r="F57">
        <v>1854968</v>
      </c>
      <c r="G57">
        <v>24</v>
      </c>
      <c r="H57">
        <v>590</v>
      </c>
      <c r="I57" t="s">
        <v>396</v>
      </c>
      <c r="J57" t="s">
        <v>401</v>
      </c>
      <c r="K57" t="s">
        <v>405</v>
      </c>
      <c r="L57">
        <f t="shared" si="0"/>
        <v>971</v>
      </c>
      <c r="M57">
        <f t="shared" ca="1" si="1"/>
        <v>612</v>
      </c>
      <c r="N57">
        <f t="shared" ca="1" si="2"/>
        <v>292</v>
      </c>
      <c r="O57" s="2">
        <f t="shared" ca="1" si="3"/>
        <v>0.63027806385169927</v>
      </c>
    </row>
    <row r="58" spans="1:15" x14ac:dyDescent="0.3">
      <c r="A58" s="3" t="s">
        <v>71</v>
      </c>
      <c r="B58" t="s">
        <v>270</v>
      </c>
      <c r="C58">
        <v>35</v>
      </c>
      <c r="D58" t="s">
        <v>395</v>
      </c>
      <c r="E58">
        <v>261064</v>
      </c>
      <c r="F58">
        <v>831569</v>
      </c>
      <c r="G58">
        <v>12</v>
      </c>
      <c r="H58">
        <v>420</v>
      </c>
      <c r="I58" t="s">
        <v>398</v>
      </c>
      <c r="J58" t="s">
        <v>401</v>
      </c>
      <c r="K58" t="s">
        <v>405</v>
      </c>
      <c r="L58">
        <f t="shared" si="0"/>
        <v>971</v>
      </c>
      <c r="M58">
        <f t="shared" ca="1" si="1"/>
        <v>612</v>
      </c>
      <c r="N58">
        <f t="shared" ca="1" si="2"/>
        <v>292</v>
      </c>
      <c r="O58" s="2">
        <f t="shared" ca="1" si="3"/>
        <v>0.63027806385169927</v>
      </c>
    </row>
    <row r="59" spans="1:15" x14ac:dyDescent="0.3">
      <c r="A59" s="3" t="s">
        <v>72</v>
      </c>
      <c r="B59" t="s">
        <v>271</v>
      </c>
      <c r="C59">
        <v>46</v>
      </c>
      <c r="D59" t="s">
        <v>394</v>
      </c>
      <c r="E59">
        <v>464403</v>
      </c>
      <c r="F59">
        <v>1748433</v>
      </c>
      <c r="G59">
        <v>12</v>
      </c>
      <c r="H59">
        <v>452</v>
      </c>
      <c r="I59" t="s">
        <v>397</v>
      </c>
      <c r="J59" t="s">
        <v>402</v>
      </c>
      <c r="K59" t="s">
        <v>405</v>
      </c>
      <c r="L59">
        <f t="shared" si="0"/>
        <v>971</v>
      </c>
      <c r="M59">
        <f t="shared" ca="1" si="1"/>
        <v>612</v>
      </c>
      <c r="N59">
        <f t="shared" ca="1" si="2"/>
        <v>292</v>
      </c>
      <c r="O59" s="2">
        <f t="shared" ca="1" si="3"/>
        <v>0.63027806385169927</v>
      </c>
    </row>
    <row r="60" spans="1:15" x14ac:dyDescent="0.3">
      <c r="A60" s="3" t="s">
        <v>73</v>
      </c>
      <c r="B60" t="s">
        <v>272</v>
      </c>
      <c r="C60">
        <v>57</v>
      </c>
      <c r="D60" t="s">
        <v>395</v>
      </c>
      <c r="E60">
        <v>1070135</v>
      </c>
      <c r="F60">
        <v>1525432</v>
      </c>
      <c r="G60">
        <v>120</v>
      </c>
      <c r="H60">
        <v>811</v>
      </c>
      <c r="I60" t="s">
        <v>397</v>
      </c>
      <c r="J60" t="s">
        <v>403</v>
      </c>
      <c r="K60" t="s">
        <v>405</v>
      </c>
      <c r="L60">
        <f t="shared" si="0"/>
        <v>971</v>
      </c>
      <c r="M60">
        <f t="shared" ca="1" si="1"/>
        <v>612</v>
      </c>
      <c r="N60">
        <f t="shared" ca="1" si="2"/>
        <v>292</v>
      </c>
      <c r="O60" s="2">
        <f t="shared" ca="1" si="3"/>
        <v>0.63027806385169927</v>
      </c>
    </row>
    <row r="61" spans="1:15" x14ac:dyDescent="0.3">
      <c r="A61" s="3" t="s">
        <v>74</v>
      </c>
      <c r="B61" t="s">
        <v>273</v>
      </c>
      <c r="C61">
        <v>46</v>
      </c>
      <c r="D61" t="s">
        <v>395</v>
      </c>
      <c r="E61">
        <v>251620</v>
      </c>
      <c r="F61">
        <v>705721</v>
      </c>
      <c r="G61">
        <v>120</v>
      </c>
      <c r="H61">
        <v>649</v>
      </c>
      <c r="I61" t="s">
        <v>397</v>
      </c>
      <c r="J61" t="s">
        <v>402</v>
      </c>
      <c r="K61" t="s">
        <v>406</v>
      </c>
      <c r="L61">
        <f t="shared" si="0"/>
        <v>971</v>
      </c>
      <c r="M61">
        <f t="shared" ca="1" si="1"/>
        <v>612</v>
      </c>
      <c r="N61">
        <f t="shared" ca="1" si="2"/>
        <v>292</v>
      </c>
      <c r="O61" s="2">
        <f t="shared" ca="1" si="3"/>
        <v>0.63027806385169927</v>
      </c>
    </row>
    <row r="62" spans="1:15" x14ac:dyDescent="0.3">
      <c r="A62" s="3" t="s">
        <v>75</v>
      </c>
      <c r="B62" t="s">
        <v>274</v>
      </c>
      <c r="C62">
        <v>45</v>
      </c>
      <c r="D62" t="s">
        <v>395</v>
      </c>
      <c r="E62">
        <v>235414</v>
      </c>
      <c r="F62">
        <v>1267688</v>
      </c>
      <c r="G62">
        <v>180</v>
      </c>
      <c r="H62">
        <v>616</v>
      </c>
      <c r="I62" t="s">
        <v>398</v>
      </c>
      <c r="J62" t="s">
        <v>402</v>
      </c>
      <c r="K62" t="s">
        <v>404</v>
      </c>
      <c r="L62">
        <f t="shared" si="0"/>
        <v>971</v>
      </c>
      <c r="M62">
        <f t="shared" ca="1" si="1"/>
        <v>612</v>
      </c>
      <c r="N62">
        <f t="shared" ca="1" si="2"/>
        <v>292</v>
      </c>
      <c r="O62" s="2">
        <f t="shared" ca="1" si="3"/>
        <v>0.63027806385169927</v>
      </c>
    </row>
    <row r="63" spans="1:15" x14ac:dyDescent="0.3">
      <c r="A63" s="3" t="s">
        <v>76</v>
      </c>
      <c r="B63" t="s">
        <v>275</v>
      </c>
      <c r="C63">
        <v>45</v>
      </c>
      <c r="D63" t="s">
        <v>394</v>
      </c>
      <c r="E63">
        <v>1043404</v>
      </c>
      <c r="F63">
        <v>195941</v>
      </c>
      <c r="G63">
        <v>120</v>
      </c>
      <c r="H63">
        <v>416</v>
      </c>
      <c r="I63" t="s">
        <v>397</v>
      </c>
      <c r="J63" t="s">
        <v>403</v>
      </c>
      <c r="K63" t="s">
        <v>405</v>
      </c>
      <c r="L63">
        <f t="shared" si="0"/>
        <v>971</v>
      </c>
      <c r="M63">
        <f t="shared" ca="1" si="1"/>
        <v>612</v>
      </c>
      <c r="N63">
        <f t="shared" ca="1" si="2"/>
        <v>292</v>
      </c>
      <c r="O63" s="2">
        <f t="shared" ca="1" si="3"/>
        <v>0.63027806385169927</v>
      </c>
    </row>
    <row r="64" spans="1:15" x14ac:dyDescent="0.3">
      <c r="A64" s="3" t="s">
        <v>77</v>
      </c>
      <c r="B64" t="s">
        <v>276</v>
      </c>
      <c r="C64">
        <v>51</v>
      </c>
      <c r="D64" t="s">
        <v>395</v>
      </c>
      <c r="E64">
        <v>303156</v>
      </c>
      <c r="F64">
        <v>965839</v>
      </c>
      <c r="G64">
        <v>180</v>
      </c>
      <c r="H64">
        <v>765</v>
      </c>
      <c r="I64" t="s">
        <v>397</v>
      </c>
      <c r="J64" t="s">
        <v>400</v>
      </c>
      <c r="K64" t="s">
        <v>406</v>
      </c>
      <c r="L64">
        <f t="shared" si="0"/>
        <v>971</v>
      </c>
      <c r="M64">
        <f t="shared" ca="1" si="1"/>
        <v>612</v>
      </c>
      <c r="N64">
        <f t="shared" ca="1" si="2"/>
        <v>292</v>
      </c>
      <c r="O64" s="2">
        <f t="shared" ca="1" si="3"/>
        <v>0.63027806385169927</v>
      </c>
    </row>
    <row r="65" spans="1:15" x14ac:dyDescent="0.3">
      <c r="A65" s="3" t="s">
        <v>78</v>
      </c>
      <c r="B65" t="s">
        <v>277</v>
      </c>
      <c r="C65">
        <v>59</v>
      </c>
      <c r="D65" t="s">
        <v>395</v>
      </c>
      <c r="E65">
        <v>369152</v>
      </c>
      <c r="F65">
        <v>1657503</v>
      </c>
      <c r="G65">
        <v>180</v>
      </c>
      <c r="H65">
        <v>702</v>
      </c>
      <c r="I65" t="s">
        <v>396</v>
      </c>
      <c r="J65" t="s">
        <v>403</v>
      </c>
      <c r="K65" t="s">
        <v>405</v>
      </c>
      <c r="L65">
        <f t="shared" si="0"/>
        <v>971</v>
      </c>
      <c r="M65">
        <f t="shared" ca="1" si="1"/>
        <v>612</v>
      </c>
      <c r="N65">
        <f t="shared" ca="1" si="2"/>
        <v>292</v>
      </c>
      <c r="O65" s="2">
        <f t="shared" ca="1" si="3"/>
        <v>0.63027806385169927</v>
      </c>
    </row>
    <row r="66" spans="1:15" x14ac:dyDescent="0.3">
      <c r="A66" s="3" t="s">
        <v>79</v>
      </c>
      <c r="B66" t="s">
        <v>278</v>
      </c>
      <c r="C66">
        <v>56</v>
      </c>
      <c r="D66" t="s">
        <v>394</v>
      </c>
      <c r="E66">
        <v>483851</v>
      </c>
      <c r="F66">
        <v>1798197</v>
      </c>
      <c r="G66">
        <v>120</v>
      </c>
      <c r="H66">
        <v>605</v>
      </c>
      <c r="I66" t="s">
        <v>397</v>
      </c>
      <c r="J66" t="s">
        <v>400</v>
      </c>
      <c r="K66" t="s">
        <v>405</v>
      </c>
      <c r="L66">
        <f t="shared" ref="L66:L129" si="4">COUNTA($A$2:$A$1001)</f>
        <v>971</v>
      </c>
      <c r="M66">
        <f t="shared" ca="1" si="1"/>
        <v>612</v>
      </c>
      <c r="N66">
        <f t="shared" ca="1" si="2"/>
        <v>292</v>
      </c>
      <c r="O66" s="2">
        <f t="shared" ca="1" si="3"/>
        <v>0.63027806385169927</v>
      </c>
    </row>
    <row r="67" spans="1:15" x14ac:dyDescent="0.3">
      <c r="A67" s="3" t="s">
        <v>80</v>
      </c>
      <c r="B67" t="s">
        <v>279</v>
      </c>
      <c r="C67">
        <v>45</v>
      </c>
      <c r="D67" t="s">
        <v>394</v>
      </c>
      <c r="E67">
        <v>648639</v>
      </c>
      <c r="F67">
        <v>446476</v>
      </c>
      <c r="G67">
        <v>12</v>
      </c>
      <c r="H67">
        <v>444</v>
      </c>
      <c r="I67" t="s">
        <v>396</v>
      </c>
      <c r="J67" t="s">
        <v>399</v>
      </c>
      <c r="K67" t="s">
        <v>405</v>
      </c>
      <c r="L67">
        <f t="shared" si="4"/>
        <v>971</v>
      </c>
      <c r="M67">
        <f t="shared" ref="M67:M130" ca="1" si="5">COUNTIF($K$2:$K$1001,"Approved")</f>
        <v>612</v>
      </c>
      <c r="N67">
        <f t="shared" ref="N67:N130" ca="1" si="6">COUNTIF($K$2:$K$1001,"Rejected")</f>
        <v>292</v>
      </c>
      <c r="O67" s="2">
        <f t="shared" ref="O67:O130" ca="1" si="7">COUNTIF($K$2:$K$1001,"Approved") / COUNTA($A$2:$A$1001)</f>
        <v>0.63027806385169927</v>
      </c>
    </row>
    <row r="68" spans="1:15" x14ac:dyDescent="0.3">
      <c r="A68" s="3" t="s">
        <v>81</v>
      </c>
      <c r="B68" t="s">
        <v>280</v>
      </c>
      <c r="C68">
        <v>56</v>
      </c>
      <c r="D68" t="s">
        <v>394</v>
      </c>
      <c r="E68">
        <v>275818</v>
      </c>
      <c r="F68">
        <v>1378916</v>
      </c>
      <c r="G68">
        <v>24</v>
      </c>
      <c r="H68">
        <v>607</v>
      </c>
      <c r="I68" t="s">
        <v>396</v>
      </c>
      <c r="J68" t="s">
        <v>403</v>
      </c>
      <c r="K68" t="s">
        <v>404</v>
      </c>
      <c r="L68">
        <f t="shared" si="4"/>
        <v>971</v>
      </c>
      <c r="M68">
        <f t="shared" ca="1" si="5"/>
        <v>612</v>
      </c>
      <c r="N68">
        <f t="shared" ca="1" si="6"/>
        <v>292</v>
      </c>
      <c r="O68" s="2">
        <f t="shared" ca="1" si="7"/>
        <v>0.63027806385169927</v>
      </c>
    </row>
    <row r="69" spans="1:15" x14ac:dyDescent="0.3">
      <c r="A69" s="3" t="s">
        <v>82</v>
      </c>
      <c r="B69" t="s">
        <v>281</v>
      </c>
      <c r="C69">
        <v>51</v>
      </c>
      <c r="D69" t="s">
        <v>394</v>
      </c>
      <c r="E69">
        <v>784504</v>
      </c>
      <c r="F69">
        <v>1828872</v>
      </c>
      <c r="G69">
        <v>60</v>
      </c>
      <c r="H69">
        <v>305</v>
      </c>
      <c r="I69" t="s">
        <v>398</v>
      </c>
      <c r="J69" t="s">
        <v>402</v>
      </c>
      <c r="K69" t="s">
        <v>405</v>
      </c>
      <c r="L69">
        <f t="shared" si="4"/>
        <v>971</v>
      </c>
      <c r="M69">
        <f t="shared" ca="1" si="5"/>
        <v>612</v>
      </c>
      <c r="N69">
        <f t="shared" ca="1" si="6"/>
        <v>292</v>
      </c>
      <c r="O69" s="2">
        <f t="shared" ca="1" si="7"/>
        <v>0.63027806385169927</v>
      </c>
    </row>
    <row r="70" spans="1:15" x14ac:dyDescent="0.3">
      <c r="A70" s="3" t="s">
        <v>83</v>
      </c>
      <c r="B70" t="s">
        <v>282</v>
      </c>
      <c r="C70">
        <v>51</v>
      </c>
      <c r="D70" t="s">
        <v>394</v>
      </c>
      <c r="E70">
        <v>601533</v>
      </c>
      <c r="F70">
        <v>1722141</v>
      </c>
      <c r="G70">
        <v>180</v>
      </c>
      <c r="H70">
        <v>703</v>
      </c>
      <c r="I70" t="s">
        <v>397</v>
      </c>
      <c r="J70" t="s">
        <v>402</v>
      </c>
      <c r="K70" t="s">
        <v>404</v>
      </c>
      <c r="L70">
        <f t="shared" si="4"/>
        <v>971</v>
      </c>
      <c r="M70">
        <f t="shared" ca="1" si="5"/>
        <v>612</v>
      </c>
      <c r="N70">
        <f t="shared" ca="1" si="6"/>
        <v>292</v>
      </c>
      <c r="O70" s="2">
        <f t="shared" ca="1" si="7"/>
        <v>0.63027806385169927</v>
      </c>
    </row>
    <row r="71" spans="1:15" x14ac:dyDescent="0.3">
      <c r="A71" s="3" t="s">
        <v>84</v>
      </c>
      <c r="B71" t="s">
        <v>283</v>
      </c>
      <c r="C71">
        <v>42</v>
      </c>
      <c r="D71" t="s">
        <v>394</v>
      </c>
      <c r="E71">
        <v>1149037</v>
      </c>
      <c r="F71">
        <v>356959</v>
      </c>
      <c r="G71">
        <v>36</v>
      </c>
      <c r="H71">
        <v>711</v>
      </c>
      <c r="I71" t="s">
        <v>396</v>
      </c>
      <c r="J71" t="s">
        <v>401</v>
      </c>
      <c r="K71" t="s">
        <v>405</v>
      </c>
      <c r="L71">
        <f t="shared" si="4"/>
        <v>971</v>
      </c>
      <c r="M71">
        <f t="shared" ca="1" si="5"/>
        <v>612</v>
      </c>
      <c r="N71">
        <f t="shared" ca="1" si="6"/>
        <v>292</v>
      </c>
      <c r="O71" s="2">
        <f t="shared" ca="1" si="7"/>
        <v>0.63027806385169927</v>
      </c>
    </row>
    <row r="72" spans="1:15" x14ac:dyDescent="0.3">
      <c r="A72" s="3" t="s">
        <v>85</v>
      </c>
      <c r="B72" t="s">
        <v>284</v>
      </c>
      <c r="C72">
        <v>52</v>
      </c>
      <c r="D72" t="s">
        <v>394</v>
      </c>
      <c r="E72">
        <v>1313743</v>
      </c>
      <c r="F72">
        <v>1579766</v>
      </c>
      <c r="G72">
        <v>60</v>
      </c>
      <c r="H72">
        <v>897</v>
      </c>
      <c r="I72" t="s">
        <v>398</v>
      </c>
      <c r="J72" t="s">
        <v>400</v>
      </c>
      <c r="K72" t="s">
        <v>405</v>
      </c>
      <c r="L72">
        <f t="shared" si="4"/>
        <v>971</v>
      </c>
      <c r="M72">
        <f t="shared" ca="1" si="5"/>
        <v>612</v>
      </c>
      <c r="N72">
        <f t="shared" ca="1" si="6"/>
        <v>292</v>
      </c>
      <c r="O72" s="2">
        <f t="shared" ca="1" si="7"/>
        <v>0.63027806385169927</v>
      </c>
    </row>
    <row r="73" spans="1:15" x14ac:dyDescent="0.3">
      <c r="A73" s="3" t="s">
        <v>86</v>
      </c>
      <c r="B73" t="s">
        <v>284</v>
      </c>
      <c r="C73">
        <v>28</v>
      </c>
      <c r="D73" t="s">
        <v>394</v>
      </c>
      <c r="E73">
        <v>412799</v>
      </c>
      <c r="F73">
        <v>1776536</v>
      </c>
      <c r="G73">
        <v>12</v>
      </c>
      <c r="H73">
        <v>329</v>
      </c>
      <c r="I73" t="s">
        <v>398</v>
      </c>
      <c r="J73" t="s">
        <v>403</v>
      </c>
      <c r="K73" t="s">
        <v>404</v>
      </c>
      <c r="L73">
        <f t="shared" si="4"/>
        <v>971</v>
      </c>
      <c r="M73">
        <f t="shared" ca="1" si="5"/>
        <v>612</v>
      </c>
      <c r="N73">
        <f t="shared" ca="1" si="6"/>
        <v>292</v>
      </c>
      <c r="O73" s="2">
        <f t="shared" ca="1" si="7"/>
        <v>0.63027806385169927</v>
      </c>
    </row>
    <row r="74" spans="1:15" x14ac:dyDescent="0.3">
      <c r="A74" s="3" t="s">
        <v>87</v>
      </c>
      <c r="B74" t="s">
        <v>285</v>
      </c>
      <c r="C74">
        <v>45</v>
      </c>
      <c r="D74" t="s">
        <v>394</v>
      </c>
      <c r="E74">
        <v>1140982</v>
      </c>
      <c r="F74">
        <v>1064442</v>
      </c>
      <c r="G74">
        <v>120</v>
      </c>
      <c r="H74">
        <v>577</v>
      </c>
      <c r="I74" t="s">
        <v>396</v>
      </c>
      <c r="J74" t="s">
        <v>401</v>
      </c>
      <c r="K74" t="s">
        <v>405</v>
      </c>
      <c r="L74">
        <f t="shared" si="4"/>
        <v>971</v>
      </c>
      <c r="M74">
        <f t="shared" ca="1" si="5"/>
        <v>612</v>
      </c>
      <c r="N74">
        <f t="shared" ca="1" si="6"/>
        <v>292</v>
      </c>
      <c r="O74" s="2">
        <f t="shared" ca="1" si="7"/>
        <v>0.63027806385169927</v>
      </c>
    </row>
    <row r="75" spans="1:15" x14ac:dyDescent="0.3">
      <c r="A75" s="3" t="s">
        <v>88</v>
      </c>
      <c r="B75" t="s">
        <v>286</v>
      </c>
      <c r="C75">
        <v>50</v>
      </c>
      <c r="D75" t="s">
        <v>395</v>
      </c>
      <c r="E75">
        <v>971649</v>
      </c>
      <c r="F75">
        <v>329204</v>
      </c>
      <c r="G75">
        <v>180</v>
      </c>
      <c r="H75">
        <v>478</v>
      </c>
      <c r="I75" t="s">
        <v>396</v>
      </c>
      <c r="J75" t="s">
        <v>401</v>
      </c>
      <c r="K75" t="s">
        <v>404</v>
      </c>
      <c r="L75">
        <f t="shared" si="4"/>
        <v>971</v>
      </c>
      <c r="M75">
        <f t="shared" ca="1" si="5"/>
        <v>612</v>
      </c>
      <c r="N75">
        <f t="shared" ca="1" si="6"/>
        <v>292</v>
      </c>
      <c r="O75" s="2">
        <f t="shared" ca="1" si="7"/>
        <v>0.63027806385169927</v>
      </c>
    </row>
    <row r="76" spans="1:15" x14ac:dyDescent="0.3">
      <c r="A76" s="3" t="s">
        <v>89</v>
      </c>
      <c r="B76" t="s">
        <v>287</v>
      </c>
      <c r="C76">
        <v>43</v>
      </c>
      <c r="D76" t="s">
        <v>394</v>
      </c>
      <c r="E76">
        <v>1020204</v>
      </c>
      <c r="F76">
        <v>1011719</v>
      </c>
      <c r="G76">
        <v>24</v>
      </c>
      <c r="H76">
        <v>319</v>
      </c>
      <c r="I76" t="s">
        <v>398</v>
      </c>
      <c r="J76" t="s">
        <v>402</v>
      </c>
      <c r="K76" t="s">
        <v>405</v>
      </c>
      <c r="L76">
        <f t="shared" si="4"/>
        <v>971</v>
      </c>
      <c r="M76">
        <f t="shared" ca="1" si="5"/>
        <v>612</v>
      </c>
      <c r="N76">
        <f t="shared" ca="1" si="6"/>
        <v>292</v>
      </c>
      <c r="O76" s="2">
        <f t="shared" ca="1" si="7"/>
        <v>0.63027806385169927</v>
      </c>
    </row>
    <row r="77" spans="1:15" x14ac:dyDescent="0.3">
      <c r="A77" s="3" t="s">
        <v>90</v>
      </c>
      <c r="B77" t="s">
        <v>288</v>
      </c>
      <c r="C77">
        <v>36</v>
      </c>
      <c r="D77" t="s">
        <v>395</v>
      </c>
      <c r="E77">
        <v>1305716</v>
      </c>
      <c r="F77">
        <v>649589</v>
      </c>
      <c r="G77">
        <v>24</v>
      </c>
      <c r="H77">
        <v>759</v>
      </c>
      <c r="I77" t="s">
        <v>397</v>
      </c>
      <c r="J77" t="s">
        <v>400</v>
      </c>
      <c r="K77" t="s">
        <v>404</v>
      </c>
      <c r="L77">
        <f t="shared" si="4"/>
        <v>971</v>
      </c>
      <c r="M77">
        <f t="shared" ca="1" si="5"/>
        <v>612</v>
      </c>
      <c r="N77">
        <f t="shared" ca="1" si="6"/>
        <v>292</v>
      </c>
      <c r="O77" s="2">
        <f t="shared" ca="1" si="7"/>
        <v>0.63027806385169927</v>
      </c>
    </row>
    <row r="78" spans="1:15" x14ac:dyDescent="0.3">
      <c r="A78" s="3" t="s">
        <v>91</v>
      </c>
      <c r="B78" t="s">
        <v>289</v>
      </c>
      <c r="C78">
        <v>33</v>
      </c>
      <c r="D78" t="s">
        <v>394</v>
      </c>
      <c r="E78">
        <v>201206</v>
      </c>
      <c r="F78">
        <v>1208753</v>
      </c>
      <c r="G78">
        <v>24</v>
      </c>
      <c r="H78">
        <v>326</v>
      </c>
      <c r="I78" t="s">
        <v>396</v>
      </c>
      <c r="J78" t="s">
        <v>400</v>
      </c>
      <c r="K78" t="s">
        <v>405</v>
      </c>
      <c r="L78">
        <f t="shared" si="4"/>
        <v>971</v>
      </c>
      <c r="M78">
        <f t="shared" ca="1" si="5"/>
        <v>612</v>
      </c>
      <c r="N78">
        <f t="shared" ca="1" si="6"/>
        <v>292</v>
      </c>
      <c r="O78" s="2">
        <f t="shared" ca="1" si="7"/>
        <v>0.63027806385169927</v>
      </c>
    </row>
    <row r="79" spans="1:15" x14ac:dyDescent="0.3">
      <c r="A79" s="3" t="s">
        <v>92</v>
      </c>
      <c r="B79" t="s">
        <v>287</v>
      </c>
      <c r="C79">
        <v>58</v>
      </c>
      <c r="D79" t="s">
        <v>394</v>
      </c>
      <c r="E79">
        <v>630290</v>
      </c>
      <c r="F79">
        <v>1470010</v>
      </c>
      <c r="G79">
        <v>120</v>
      </c>
      <c r="H79">
        <v>790</v>
      </c>
      <c r="I79" t="s">
        <v>398</v>
      </c>
      <c r="J79" t="s">
        <v>399</v>
      </c>
      <c r="K79" t="s">
        <v>406</v>
      </c>
      <c r="L79">
        <f t="shared" si="4"/>
        <v>971</v>
      </c>
      <c r="M79">
        <f t="shared" ca="1" si="5"/>
        <v>612</v>
      </c>
      <c r="N79">
        <f t="shared" ca="1" si="6"/>
        <v>292</v>
      </c>
      <c r="O79" s="2">
        <f t="shared" ca="1" si="7"/>
        <v>0.63027806385169927</v>
      </c>
    </row>
    <row r="80" spans="1:15" x14ac:dyDescent="0.3">
      <c r="A80" s="3" t="s">
        <v>93</v>
      </c>
      <c r="B80" t="s">
        <v>290</v>
      </c>
      <c r="C80">
        <v>27</v>
      </c>
      <c r="D80" t="s">
        <v>394</v>
      </c>
      <c r="E80">
        <v>1485682</v>
      </c>
      <c r="F80">
        <v>1495837</v>
      </c>
      <c r="G80">
        <v>60</v>
      </c>
      <c r="H80">
        <v>812</v>
      </c>
      <c r="I80" t="s">
        <v>396</v>
      </c>
      <c r="J80" t="s">
        <v>400</v>
      </c>
      <c r="K80" t="s">
        <v>405</v>
      </c>
      <c r="L80">
        <f t="shared" si="4"/>
        <v>971</v>
      </c>
      <c r="M80">
        <f t="shared" ca="1" si="5"/>
        <v>612</v>
      </c>
      <c r="N80">
        <f t="shared" ca="1" si="6"/>
        <v>292</v>
      </c>
      <c r="O80" s="2">
        <f t="shared" ca="1" si="7"/>
        <v>0.63027806385169927</v>
      </c>
    </row>
    <row r="81" spans="1:15" x14ac:dyDescent="0.3">
      <c r="A81" s="3" t="s">
        <v>94</v>
      </c>
      <c r="B81" t="s">
        <v>291</v>
      </c>
      <c r="C81">
        <v>54</v>
      </c>
      <c r="D81" t="s">
        <v>395</v>
      </c>
      <c r="E81">
        <v>499092</v>
      </c>
      <c r="F81">
        <v>1328532</v>
      </c>
      <c r="G81">
        <v>120</v>
      </c>
      <c r="H81">
        <v>479</v>
      </c>
      <c r="I81" t="s">
        <v>397</v>
      </c>
      <c r="J81" t="s">
        <v>402</v>
      </c>
      <c r="K81" t="s">
        <v>406</v>
      </c>
      <c r="L81">
        <f t="shared" si="4"/>
        <v>971</v>
      </c>
      <c r="M81">
        <f t="shared" ca="1" si="5"/>
        <v>612</v>
      </c>
      <c r="N81">
        <f t="shared" ca="1" si="6"/>
        <v>292</v>
      </c>
      <c r="O81" s="2">
        <f t="shared" ca="1" si="7"/>
        <v>0.63027806385169927</v>
      </c>
    </row>
    <row r="82" spans="1:15" x14ac:dyDescent="0.3">
      <c r="A82" s="3" t="s">
        <v>95</v>
      </c>
      <c r="B82" t="s">
        <v>292</v>
      </c>
      <c r="C82">
        <v>40</v>
      </c>
      <c r="D82" t="s">
        <v>395</v>
      </c>
      <c r="E82">
        <v>1004587</v>
      </c>
      <c r="F82">
        <v>1964455</v>
      </c>
      <c r="G82">
        <v>36</v>
      </c>
      <c r="H82">
        <v>726</v>
      </c>
      <c r="I82" t="s">
        <v>398</v>
      </c>
      <c r="J82" t="s">
        <v>402</v>
      </c>
      <c r="K82" t="s">
        <v>404</v>
      </c>
      <c r="L82">
        <f t="shared" si="4"/>
        <v>971</v>
      </c>
      <c r="M82">
        <f t="shared" ca="1" si="5"/>
        <v>612</v>
      </c>
      <c r="N82">
        <f t="shared" ca="1" si="6"/>
        <v>292</v>
      </c>
      <c r="O82" s="2">
        <f t="shared" ca="1" si="7"/>
        <v>0.63027806385169927</v>
      </c>
    </row>
    <row r="83" spans="1:15" x14ac:dyDescent="0.3">
      <c r="A83" s="3" t="s">
        <v>96</v>
      </c>
      <c r="B83" t="s">
        <v>293</v>
      </c>
      <c r="C83">
        <v>29</v>
      </c>
      <c r="D83" t="s">
        <v>395</v>
      </c>
      <c r="E83">
        <v>886441</v>
      </c>
      <c r="F83">
        <v>1971651</v>
      </c>
      <c r="G83">
        <v>36</v>
      </c>
      <c r="H83">
        <v>636</v>
      </c>
      <c r="I83" t="s">
        <v>398</v>
      </c>
      <c r="J83" t="s">
        <v>399</v>
      </c>
      <c r="K83" t="s">
        <v>406</v>
      </c>
      <c r="L83">
        <f t="shared" si="4"/>
        <v>971</v>
      </c>
      <c r="M83">
        <f t="shared" ca="1" si="5"/>
        <v>612</v>
      </c>
      <c r="N83">
        <f t="shared" ca="1" si="6"/>
        <v>292</v>
      </c>
      <c r="O83" s="2">
        <f t="shared" ca="1" si="7"/>
        <v>0.63027806385169927</v>
      </c>
    </row>
    <row r="84" spans="1:15" x14ac:dyDescent="0.3">
      <c r="A84" s="3" t="s">
        <v>97</v>
      </c>
      <c r="B84" t="s">
        <v>294</v>
      </c>
      <c r="C84">
        <v>34</v>
      </c>
      <c r="D84" t="s">
        <v>395</v>
      </c>
      <c r="E84">
        <v>1232925</v>
      </c>
      <c r="F84">
        <v>426701</v>
      </c>
      <c r="G84">
        <v>12</v>
      </c>
      <c r="H84">
        <v>549</v>
      </c>
      <c r="I84" t="s">
        <v>398</v>
      </c>
      <c r="J84" t="s">
        <v>402</v>
      </c>
      <c r="K84" t="s">
        <v>406</v>
      </c>
      <c r="L84">
        <f t="shared" si="4"/>
        <v>971</v>
      </c>
      <c r="M84">
        <f t="shared" ca="1" si="5"/>
        <v>612</v>
      </c>
      <c r="N84">
        <f t="shared" ca="1" si="6"/>
        <v>292</v>
      </c>
      <c r="O84" s="2">
        <f t="shared" ca="1" si="7"/>
        <v>0.63027806385169927</v>
      </c>
    </row>
    <row r="85" spans="1:15" x14ac:dyDescent="0.3">
      <c r="A85" s="3" t="s">
        <v>98</v>
      </c>
      <c r="B85" t="s">
        <v>295</v>
      </c>
      <c r="C85">
        <v>60</v>
      </c>
      <c r="D85" t="s">
        <v>395</v>
      </c>
      <c r="E85">
        <v>604927</v>
      </c>
      <c r="F85">
        <v>1909522</v>
      </c>
      <c r="G85">
        <v>24</v>
      </c>
      <c r="H85">
        <v>488</v>
      </c>
      <c r="I85" t="s">
        <v>397</v>
      </c>
      <c r="J85" t="s">
        <v>402</v>
      </c>
      <c r="K85" t="s">
        <v>406</v>
      </c>
      <c r="L85">
        <f t="shared" si="4"/>
        <v>971</v>
      </c>
      <c r="M85">
        <f t="shared" ca="1" si="5"/>
        <v>612</v>
      </c>
      <c r="N85">
        <f t="shared" ca="1" si="6"/>
        <v>292</v>
      </c>
      <c r="O85" s="2">
        <f t="shared" ca="1" si="7"/>
        <v>0.63027806385169927</v>
      </c>
    </row>
    <row r="86" spans="1:15" x14ac:dyDescent="0.3">
      <c r="A86" s="3" t="s">
        <v>99</v>
      </c>
      <c r="B86" t="s">
        <v>296</v>
      </c>
      <c r="C86">
        <v>46</v>
      </c>
      <c r="D86" t="s">
        <v>394</v>
      </c>
      <c r="E86">
        <v>1482962</v>
      </c>
      <c r="F86">
        <v>1351005</v>
      </c>
      <c r="G86">
        <v>24</v>
      </c>
      <c r="H86">
        <v>393</v>
      </c>
      <c r="I86" t="s">
        <v>398</v>
      </c>
      <c r="J86" t="s">
        <v>399</v>
      </c>
      <c r="K86" t="s">
        <v>405</v>
      </c>
      <c r="L86">
        <f t="shared" si="4"/>
        <v>971</v>
      </c>
      <c r="M86">
        <f t="shared" ca="1" si="5"/>
        <v>612</v>
      </c>
      <c r="N86">
        <f t="shared" ca="1" si="6"/>
        <v>292</v>
      </c>
      <c r="O86" s="2">
        <f t="shared" ca="1" si="7"/>
        <v>0.63027806385169927</v>
      </c>
    </row>
    <row r="87" spans="1:15" x14ac:dyDescent="0.3">
      <c r="A87" s="3" t="s">
        <v>100</v>
      </c>
      <c r="B87" t="s">
        <v>297</v>
      </c>
      <c r="C87">
        <v>53</v>
      </c>
      <c r="D87" t="s">
        <v>395</v>
      </c>
      <c r="E87">
        <v>1170190</v>
      </c>
      <c r="F87">
        <v>90980</v>
      </c>
      <c r="G87">
        <v>12</v>
      </c>
      <c r="H87">
        <v>588</v>
      </c>
      <c r="I87" t="s">
        <v>398</v>
      </c>
      <c r="J87" t="s">
        <v>403</v>
      </c>
      <c r="K87" t="s">
        <v>406</v>
      </c>
      <c r="L87">
        <f t="shared" si="4"/>
        <v>971</v>
      </c>
      <c r="M87">
        <f t="shared" ca="1" si="5"/>
        <v>612</v>
      </c>
      <c r="N87">
        <f t="shared" ca="1" si="6"/>
        <v>292</v>
      </c>
      <c r="O87" s="2">
        <f t="shared" ca="1" si="7"/>
        <v>0.63027806385169927</v>
      </c>
    </row>
    <row r="88" spans="1:15" x14ac:dyDescent="0.3">
      <c r="A88" s="3" t="s">
        <v>101</v>
      </c>
      <c r="B88" t="s">
        <v>298</v>
      </c>
      <c r="C88">
        <v>22</v>
      </c>
      <c r="D88" t="s">
        <v>395</v>
      </c>
      <c r="E88">
        <v>368955</v>
      </c>
      <c r="F88">
        <v>710000</v>
      </c>
      <c r="G88">
        <v>60</v>
      </c>
      <c r="H88">
        <v>709</v>
      </c>
      <c r="I88" t="s">
        <v>396</v>
      </c>
      <c r="J88" t="s">
        <v>401</v>
      </c>
      <c r="K88" t="s">
        <v>404</v>
      </c>
      <c r="L88">
        <f t="shared" si="4"/>
        <v>971</v>
      </c>
      <c r="M88">
        <f t="shared" ca="1" si="5"/>
        <v>612</v>
      </c>
      <c r="N88">
        <f t="shared" ca="1" si="6"/>
        <v>292</v>
      </c>
      <c r="O88" s="2">
        <f t="shared" ca="1" si="7"/>
        <v>0.63027806385169927</v>
      </c>
    </row>
    <row r="89" spans="1:15" x14ac:dyDescent="0.3">
      <c r="A89" s="3" t="s">
        <v>102</v>
      </c>
      <c r="B89" t="s">
        <v>282</v>
      </c>
      <c r="C89">
        <v>41</v>
      </c>
      <c r="D89" t="s">
        <v>394</v>
      </c>
      <c r="E89">
        <v>328909</v>
      </c>
      <c r="F89">
        <v>1338769</v>
      </c>
      <c r="G89">
        <v>12</v>
      </c>
      <c r="H89">
        <v>754</v>
      </c>
      <c r="I89" t="s">
        <v>397</v>
      </c>
      <c r="J89" t="s">
        <v>402</v>
      </c>
      <c r="K89" t="s">
        <v>404</v>
      </c>
      <c r="L89">
        <f t="shared" si="4"/>
        <v>971</v>
      </c>
      <c r="M89">
        <f t="shared" ca="1" si="5"/>
        <v>612</v>
      </c>
      <c r="N89">
        <f t="shared" ca="1" si="6"/>
        <v>292</v>
      </c>
      <c r="O89" s="2">
        <f t="shared" ca="1" si="7"/>
        <v>0.63027806385169927</v>
      </c>
    </row>
    <row r="90" spans="1:15" x14ac:dyDescent="0.3">
      <c r="A90" s="3" t="s">
        <v>103</v>
      </c>
      <c r="B90" t="s">
        <v>299</v>
      </c>
      <c r="C90">
        <v>33</v>
      </c>
      <c r="D90" t="s">
        <v>394</v>
      </c>
      <c r="E90">
        <v>716938</v>
      </c>
      <c r="F90">
        <v>335691</v>
      </c>
      <c r="G90">
        <v>60</v>
      </c>
      <c r="H90">
        <v>533</v>
      </c>
      <c r="I90" t="s">
        <v>397</v>
      </c>
      <c r="J90" t="s">
        <v>403</v>
      </c>
      <c r="K90" t="s">
        <v>405</v>
      </c>
      <c r="L90">
        <f t="shared" si="4"/>
        <v>971</v>
      </c>
      <c r="M90">
        <f t="shared" ca="1" si="5"/>
        <v>612</v>
      </c>
      <c r="N90">
        <f t="shared" ca="1" si="6"/>
        <v>292</v>
      </c>
      <c r="O90" s="2">
        <f t="shared" ca="1" si="7"/>
        <v>0.63027806385169927</v>
      </c>
    </row>
    <row r="91" spans="1:15" x14ac:dyDescent="0.3">
      <c r="A91" s="3" t="s">
        <v>104</v>
      </c>
      <c r="B91" t="s">
        <v>289</v>
      </c>
      <c r="C91">
        <v>41</v>
      </c>
      <c r="D91" t="s">
        <v>394</v>
      </c>
      <c r="E91">
        <v>821106</v>
      </c>
      <c r="F91">
        <v>871390</v>
      </c>
      <c r="G91">
        <v>120</v>
      </c>
      <c r="H91">
        <v>416</v>
      </c>
      <c r="I91" t="s">
        <v>398</v>
      </c>
      <c r="J91" t="s">
        <v>402</v>
      </c>
      <c r="K91" t="s">
        <v>405</v>
      </c>
      <c r="L91">
        <f t="shared" si="4"/>
        <v>971</v>
      </c>
      <c r="M91">
        <f t="shared" ca="1" si="5"/>
        <v>612</v>
      </c>
      <c r="N91">
        <f t="shared" ca="1" si="6"/>
        <v>292</v>
      </c>
      <c r="O91" s="2">
        <f t="shared" ca="1" si="7"/>
        <v>0.63027806385169927</v>
      </c>
    </row>
    <row r="92" spans="1:15" x14ac:dyDescent="0.3">
      <c r="A92" s="3" t="s">
        <v>105</v>
      </c>
      <c r="B92" t="s">
        <v>300</v>
      </c>
      <c r="C92">
        <v>43</v>
      </c>
      <c r="D92" t="s">
        <v>394</v>
      </c>
      <c r="E92">
        <v>241103</v>
      </c>
      <c r="F92">
        <v>1301879</v>
      </c>
      <c r="G92">
        <v>36</v>
      </c>
      <c r="H92">
        <v>683</v>
      </c>
      <c r="I92" t="s">
        <v>397</v>
      </c>
      <c r="J92" t="s">
        <v>401</v>
      </c>
      <c r="K92" t="s">
        <v>404</v>
      </c>
      <c r="L92">
        <f t="shared" si="4"/>
        <v>971</v>
      </c>
      <c r="M92">
        <f t="shared" ca="1" si="5"/>
        <v>612</v>
      </c>
      <c r="N92">
        <f t="shared" ca="1" si="6"/>
        <v>292</v>
      </c>
      <c r="O92" s="2">
        <f t="shared" ca="1" si="7"/>
        <v>0.63027806385169927</v>
      </c>
    </row>
    <row r="93" spans="1:15" x14ac:dyDescent="0.3">
      <c r="A93" s="3" t="s">
        <v>106</v>
      </c>
      <c r="B93" t="s">
        <v>290</v>
      </c>
      <c r="C93">
        <v>37</v>
      </c>
      <c r="D93" t="s">
        <v>394</v>
      </c>
      <c r="E93">
        <v>827090</v>
      </c>
      <c r="F93">
        <v>695143</v>
      </c>
      <c r="G93">
        <v>24</v>
      </c>
      <c r="H93">
        <v>884</v>
      </c>
      <c r="I93" t="s">
        <v>398</v>
      </c>
      <c r="J93" t="s">
        <v>401</v>
      </c>
      <c r="K93" t="s">
        <v>404</v>
      </c>
      <c r="L93">
        <f t="shared" si="4"/>
        <v>971</v>
      </c>
      <c r="M93">
        <f t="shared" ca="1" si="5"/>
        <v>612</v>
      </c>
      <c r="N93">
        <f t="shared" ca="1" si="6"/>
        <v>292</v>
      </c>
      <c r="O93" s="2">
        <f t="shared" ca="1" si="7"/>
        <v>0.63027806385169927</v>
      </c>
    </row>
    <row r="94" spans="1:15" x14ac:dyDescent="0.3">
      <c r="A94" s="3" t="s">
        <v>107</v>
      </c>
      <c r="B94" t="s">
        <v>301</v>
      </c>
      <c r="C94">
        <v>33</v>
      </c>
      <c r="D94" t="s">
        <v>394</v>
      </c>
      <c r="E94">
        <v>805627</v>
      </c>
      <c r="F94">
        <v>358116</v>
      </c>
      <c r="G94">
        <v>24</v>
      </c>
      <c r="H94">
        <v>374</v>
      </c>
      <c r="I94" t="s">
        <v>398</v>
      </c>
      <c r="J94" t="s">
        <v>400</v>
      </c>
      <c r="K94" t="s">
        <v>406</v>
      </c>
      <c r="L94">
        <f t="shared" si="4"/>
        <v>971</v>
      </c>
      <c r="M94">
        <f t="shared" ca="1" si="5"/>
        <v>612</v>
      </c>
      <c r="N94">
        <f t="shared" ca="1" si="6"/>
        <v>292</v>
      </c>
      <c r="O94" s="2">
        <f t="shared" ca="1" si="7"/>
        <v>0.63027806385169927</v>
      </c>
    </row>
    <row r="95" spans="1:15" x14ac:dyDescent="0.3">
      <c r="A95" s="3" t="s">
        <v>108</v>
      </c>
      <c r="B95" t="s">
        <v>302</v>
      </c>
      <c r="C95">
        <v>30</v>
      </c>
      <c r="D95" t="s">
        <v>395</v>
      </c>
      <c r="E95">
        <v>1249545</v>
      </c>
      <c r="F95">
        <v>970786</v>
      </c>
      <c r="G95">
        <v>24</v>
      </c>
      <c r="H95">
        <v>500</v>
      </c>
      <c r="I95" t="s">
        <v>396</v>
      </c>
      <c r="J95" t="s">
        <v>402</v>
      </c>
      <c r="K95" t="s">
        <v>405</v>
      </c>
      <c r="L95">
        <f t="shared" si="4"/>
        <v>971</v>
      </c>
      <c r="M95">
        <f t="shared" ca="1" si="5"/>
        <v>612</v>
      </c>
      <c r="N95">
        <f t="shared" ca="1" si="6"/>
        <v>292</v>
      </c>
      <c r="O95" s="2">
        <f t="shared" ca="1" si="7"/>
        <v>0.63027806385169927</v>
      </c>
    </row>
    <row r="96" spans="1:15" x14ac:dyDescent="0.3">
      <c r="A96" s="3" t="s">
        <v>109</v>
      </c>
      <c r="B96" t="s">
        <v>303</v>
      </c>
      <c r="C96">
        <v>26</v>
      </c>
      <c r="D96" t="s">
        <v>394</v>
      </c>
      <c r="E96">
        <v>539898</v>
      </c>
      <c r="F96">
        <v>1760313</v>
      </c>
      <c r="G96">
        <v>12</v>
      </c>
      <c r="H96">
        <v>471</v>
      </c>
      <c r="I96" t="s">
        <v>396</v>
      </c>
      <c r="J96" t="s">
        <v>401</v>
      </c>
      <c r="K96" t="s">
        <v>404</v>
      </c>
      <c r="L96">
        <f t="shared" si="4"/>
        <v>971</v>
      </c>
      <c r="M96">
        <f t="shared" ca="1" si="5"/>
        <v>612</v>
      </c>
      <c r="N96">
        <f t="shared" ca="1" si="6"/>
        <v>292</v>
      </c>
      <c r="O96" s="2">
        <f t="shared" ca="1" si="7"/>
        <v>0.63027806385169927</v>
      </c>
    </row>
    <row r="97" spans="1:15" x14ac:dyDescent="0.3">
      <c r="A97" s="3" t="s">
        <v>110</v>
      </c>
      <c r="B97" t="s">
        <v>296</v>
      </c>
      <c r="C97">
        <v>36</v>
      </c>
      <c r="D97" t="s">
        <v>394</v>
      </c>
      <c r="E97">
        <v>1264980</v>
      </c>
      <c r="F97">
        <v>1722247</v>
      </c>
      <c r="G97">
        <v>180</v>
      </c>
      <c r="H97">
        <v>593</v>
      </c>
      <c r="I97" t="s">
        <v>397</v>
      </c>
      <c r="J97" t="s">
        <v>401</v>
      </c>
      <c r="K97" t="s">
        <v>406</v>
      </c>
      <c r="L97">
        <f t="shared" si="4"/>
        <v>971</v>
      </c>
      <c r="M97">
        <f t="shared" ca="1" si="5"/>
        <v>612</v>
      </c>
      <c r="N97">
        <f t="shared" ca="1" si="6"/>
        <v>292</v>
      </c>
      <c r="O97" s="2">
        <f t="shared" ca="1" si="7"/>
        <v>0.63027806385169927</v>
      </c>
    </row>
    <row r="98" spans="1:15" x14ac:dyDescent="0.3">
      <c r="A98" s="3" t="s">
        <v>111</v>
      </c>
      <c r="B98" t="s">
        <v>304</v>
      </c>
      <c r="C98">
        <v>38</v>
      </c>
      <c r="D98" t="s">
        <v>394</v>
      </c>
      <c r="E98">
        <v>249965</v>
      </c>
      <c r="F98">
        <v>571365</v>
      </c>
      <c r="G98">
        <v>180</v>
      </c>
      <c r="H98">
        <v>409</v>
      </c>
      <c r="I98" t="s">
        <v>396</v>
      </c>
      <c r="J98" t="s">
        <v>402</v>
      </c>
      <c r="K98" t="s">
        <v>406</v>
      </c>
      <c r="L98">
        <f t="shared" si="4"/>
        <v>971</v>
      </c>
      <c r="M98">
        <f t="shared" ca="1" si="5"/>
        <v>612</v>
      </c>
      <c r="N98">
        <f t="shared" ca="1" si="6"/>
        <v>292</v>
      </c>
      <c r="O98" s="2">
        <f t="shared" ca="1" si="7"/>
        <v>0.63027806385169927</v>
      </c>
    </row>
    <row r="99" spans="1:15" x14ac:dyDescent="0.3">
      <c r="A99" s="3" t="s">
        <v>112</v>
      </c>
      <c r="B99" t="s">
        <v>305</v>
      </c>
      <c r="C99">
        <v>45</v>
      </c>
      <c r="D99" t="s">
        <v>395</v>
      </c>
      <c r="E99">
        <v>737351</v>
      </c>
      <c r="F99">
        <v>502292</v>
      </c>
      <c r="G99">
        <v>12</v>
      </c>
      <c r="H99">
        <v>559</v>
      </c>
      <c r="I99" t="s">
        <v>398</v>
      </c>
      <c r="J99" t="s">
        <v>399</v>
      </c>
      <c r="K99" t="s">
        <v>404</v>
      </c>
      <c r="L99">
        <f t="shared" si="4"/>
        <v>971</v>
      </c>
      <c r="M99">
        <f t="shared" ca="1" si="5"/>
        <v>612</v>
      </c>
      <c r="N99">
        <f t="shared" ca="1" si="6"/>
        <v>292</v>
      </c>
      <c r="O99" s="2">
        <f t="shared" ca="1" si="7"/>
        <v>0.63027806385169927</v>
      </c>
    </row>
    <row r="100" spans="1:15" x14ac:dyDescent="0.3">
      <c r="A100" s="3" t="s">
        <v>113</v>
      </c>
      <c r="B100" t="s">
        <v>306</v>
      </c>
      <c r="C100">
        <v>26</v>
      </c>
      <c r="D100" t="s">
        <v>394</v>
      </c>
      <c r="E100">
        <v>563596</v>
      </c>
      <c r="F100">
        <v>362317</v>
      </c>
      <c r="G100">
        <v>180</v>
      </c>
      <c r="H100">
        <v>824</v>
      </c>
      <c r="I100" t="s">
        <v>396</v>
      </c>
      <c r="J100" t="s">
        <v>402</v>
      </c>
      <c r="K100" t="s">
        <v>404</v>
      </c>
      <c r="L100">
        <f t="shared" si="4"/>
        <v>971</v>
      </c>
      <c r="M100">
        <f t="shared" ca="1" si="5"/>
        <v>612</v>
      </c>
      <c r="N100">
        <f t="shared" ca="1" si="6"/>
        <v>292</v>
      </c>
      <c r="O100" s="2">
        <f t="shared" ca="1" si="7"/>
        <v>0.63027806385169927</v>
      </c>
    </row>
    <row r="101" spans="1:15" x14ac:dyDescent="0.3">
      <c r="A101" s="3" t="s">
        <v>114</v>
      </c>
      <c r="B101" t="s">
        <v>297</v>
      </c>
      <c r="C101">
        <v>37</v>
      </c>
      <c r="D101" t="s">
        <v>395</v>
      </c>
      <c r="E101">
        <v>605206</v>
      </c>
      <c r="F101">
        <v>1666720</v>
      </c>
      <c r="G101">
        <v>36</v>
      </c>
      <c r="H101">
        <v>514</v>
      </c>
      <c r="I101" t="s">
        <v>396</v>
      </c>
      <c r="J101" t="s">
        <v>399</v>
      </c>
      <c r="K101" t="s">
        <v>405</v>
      </c>
      <c r="L101">
        <f t="shared" si="4"/>
        <v>971</v>
      </c>
      <c r="M101">
        <f t="shared" ca="1" si="5"/>
        <v>612</v>
      </c>
      <c r="N101">
        <f t="shared" ca="1" si="6"/>
        <v>292</v>
      </c>
      <c r="O101" s="2">
        <f t="shared" ca="1" si="7"/>
        <v>0.63027806385169927</v>
      </c>
    </row>
    <row r="102" spans="1:15" x14ac:dyDescent="0.3">
      <c r="A102" s="3" t="s">
        <v>115</v>
      </c>
      <c r="B102" t="s">
        <v>307</v>
      </c>
      <c r="C102">
        <v>27</v>
      </c>
      <c r="D102" t="s">
        <v>394</v>
      </c>
      <c r="E102">
        <v>578174</v>
      </c>
      <c r="F102">
        <v>211487</v>
      </c>
      <c r="G102">
        <v>60</v>
      </c>
      <c r="H102">
        <v>831</v>
      </c>
      <c r="I102" t="s">
        <v>397</v>
      </c>
      <c r="J102" t="s">
        <v>400</v>
      </c>
      <c r="K102" t="s">
        <v>406</v>
      </c>
      <c r="L102">
        <f t="shared" si="4"/>
        <v>971</v>
      </c>
      <c r="M102">
        <f t="shared" ca="1" si="5"/>
        <v>612</v>
      </c>
      <c r="N102">
        <f t="shared" ca="1" si="6"/>
        <v>292</v>
      </c>
      <c r="O102" s="2">
        <f t="shared" ca="1" si="7"/>
        <v>0.63027806385169927</v>
      </c>
    </row>
    <row r="103" spans="1:15" x14ac:dyDescent="0.3">
      <c r="A103" s="3" t="s">
        <v>116</v>
      </c>
      <c r="B103" t="s">
        <v>308</v>
      </c>
      <c r="C103">
        <v>56</v>
      </c>
      <c r="D103" t="s">
        <v>395</v>
      </c>
      <c r="E103">
        <v>581303</v>
      </c>
      <c r="F103">
        <v>1870804</v>
      </c>
      <c r="G103">
        <v>60</v>
      </c>
      <c r="H103">
        <v>800</v>
      </c>
      <c r="I103" t="s">
        <v>398</v>
      </c>
      <c r="J103" t="s">
        <v>402</v>
      </c>
      <c r="K103" t="s">
        <v>404</v>
      </c>
      <c r="L103">
        <f t="shared" si="4"/>
        <v>971</v>
      </c>
      <c r="M103">
        <f t="shared" ca="1" si="5"/>
        <v>612</v>
      </c>
      <c r="N103">
        <f t="shared" ca="1" si="6"/>
        <v>292</v>
      </c>
      <c r="O103" s="2">
        <f t="shared" ca="1" si="7"/>
        <v>0.63027806385169927</v>
      </c>
    </row>
    <row r="104" spans="1:15" x14ac:dyDescent="0.3">
      <c r="A104" s="3" t="s">
        <v>117</v>
      </c>
      <c r="B104" t="s">
        <v>309</v>
      </c>
      <c r="C104">
        <v>55</v>
      </c>
      <c r="D104" t="s">
        <v>394</v>
      </c>
      <c r="E104">
        <v>917680</v>
      </c>
      <c r="F104">
        <v>1190873</v>
      </c>
      <c r="G104">
        <v>24</v>
      </c>
      <c r="H104">
        <v>732</v>
      </c>
      <c r="I104" t="s">
        <v>396</v>
      </c>
      <c r="J104" t="s">
        <v>402</v>
      </c>
      <c r="K104" t="s">
        <v>405</v>
      </c>
      <c r="L104">
        <f t="shared" si="4"/>
        <v>971</v>
      </c>
      <c r="M104">
        <f t="shared" ca="1" si="5"/>
        <v>612</v>
      </c>
      <c r="N104">
        <f t="shared" ca="1" si="6"/>
        <v>292</v>
      </c>
      <c r="O104" s="2">
        <f t="shared" ca="1" si="7"/>
        <v>0.63027806385169927</v>
      </c>
    </row>
    <row r="105" spans="1:15" x14ac:dyDescent="0.3">
      <c r="A105" s="3" t="s">
        <v>118</v>
      </c>
      <c r="B105" t="s">
        <v>310</v>
      </c>
      <c r="C105">
        <v>51</v>
      </c>
      <c r="D105" t="s">
        <v>394</v>
      </c>
      <c r="E105">
        <v>1076045</v>
      </c>
      <c r="F105">
        <v>1099240</v>
      </c>
      <c r="G105">
        <v>120</v>
      </c>
      <c r="H105">
        <v>679</v>
      </c>
      <c r="I105" t="s">
        <v>398</v>
      </c>
      <c r="J105" t="s">
        <v>402</v>
      </c>
      <c r="K105" t="s">
        <v>404</v>
      </c>
      <c r="L105">
        <f t="shared" si="4"/>
        <v>971</v>
      </c>
      <c r="M105">
        <f t="shared" ca="1" si="5"/>
        <v>612</v>
      </c>
      <c r="N105">
        <f t="shared" ca="1" si="6"/>
        <v>292</v>
      </c>
      <c r="O105" s="2">
        <f t="shared" ca="1" si="7"/>
        <v>0.63027806385169927</v>
      </c>
    </row>
    <row r="106" spans="1:15" x14ac:dyDescent="0.3">
      <c r="A106" s="3" t="s">
        <v>119</v>
      </c>
      <c r="B106" t="s">
        <v>311</v>
      </c>
      <c r="C106">
        <v>52</v>
      </c>
      <c r="D106" t="s">
        <v>395</v>
      </c>
      <c r="E106">
        <v>1053470</v>
      </c>
      <c r="F106">
        <v>1379709</v>
      </c>
      <c r="G106">
        <v>120</v>
      </c>
      <c r="H106">
        <v>352</v>
      </c>
      <c r="I106" t="s">
        <v>396</v>
      </c>
      <c r="J106" t="s">
        <v>399</v>
      </c>
      <c r="K106" t="s">
        <v>406</v>
      </c>
      <c r="L106">
        <f t="shared" si="4"/>
        <v>971</v>
      </c>
      <c r="M106">
        <f t="shared" ca="1" si="5"/>
        <v>612</v>
      </c>
      <c r="N106">
        <f t="shared" ca="1" si="6"/>
        <v>292</v>
      </c>
      <c r="O106" s="2">
        <f t="shared" ca="1" si="7"/>
        <v>0.63027806385169927</v>
      </c>
    </row>
    <row r="107" spans="1:15" x14ac:dyDescent="0.3">
      <c r="A107" s="3" t="s">
        <v>120</v>
      </c>
      <c r="B107" t="s">
        <v>312</v>
      </c>
      <c r="C107">
        <v>43</v>
      </c>
      <c r="D107" t="s">
        <v>395</v>
      </c>
      <c r="E107">
        <v>773161</v>
      </c>
      <c r="F107">
        <v>310227</v>
      </c>
      <c r="G107">
        <v>12</v>
      </c>
      <c r="H107">
        <v>553</v>
      </c>
      <c r="I107" t="s">
        <v>398</v>
      </c>
      <c r="J107" t="s">
        <v>402</v>
      </c>
      <c r="K107" t="s">
        <v>406</v>
      </c>
      <c r="L107">
        <f t="shared" si="4"/>
        <v>971</v>
      </c>
      <c r="M107">
        <f t="shared" ca="1" si="5"/>
        <v>612</v>
      </c>
      <c r="N107">
        <f t="shared" ca="1" si="6"/>
        <v>292</v>
      </c>
      <c r="O107" s="2">
        <f t="shared" ca="1" si="7"/>
        <v>0.63027806385169927</v>
      </c>
    </row>
    <row r="108" spans="1:15" x14ac:dyDescent="0.3">
      <c r="A108" s="3" t="s">
        <v>121</v>
      </c>
      <c r="B108" t="s">
        <v>313</v>
      </c>
      <c r="C108">
        <v>37</v>
      </c>
      <c r="D108" t="s">
        <v>395</v>
      </c>
      <c r="E108">
        <v>1019621</v>
      </c>
      <c r="F108">
        <v>413311</v>
      </c>
      <c r="G108">
        <v>12</v>
      </c>
      <c r="H108">
        <v>360</v>
      </c>
      <c r="I108" t="s">
        <v>397</v>
      </c>
      <c r="J108" t="s">
        <v>401</v>
      </c>
      <c r="K108" t="s">
        <v>405</v>
      </c>
      <c r="L108">
        <f t="shared" si="4"/>
        <v>971</v>
      </c>
      <c r="M108">
        <f t="shared" ca="1" si="5"/>
        <v>612</v>
      </c>
      <c r="N108">
        <f t="shared" ca="1" si="6"/>
        <v>292</v>
      </c>
      <c r="O108" s="2">
        <f t="shared" ca="1" si="7"/>
        <v>0.63027806385169927</v>
      </c>
    </row>
    <row r="109" spans="1:15" x14ac:dyDescent="0.3">
      <c r="A109" s="3" t="s">
        <v>122</v>
      </c>
      <c r="B109" t="s">
        <v>303</v>
      </c>
      <c r="C109">
        <v>58</v>
      </c>
      <c r="D109" t="s">
        <v>394</v>
      </c>
      <c r="E109">
        <v>1364982</v>
      </c>
      <c r="F109">
        <v>513714</v>
      </c>
      <c r="G109">
        <v>36</v>
      </c>
      <c r="H109">
        <v>759</v>
      </c>
      <c r="I109" t="s">
        <v>397</v>
      </c>
      <c r="J109" t="s">
        <v>402</v>
      </c>
      <c r="K109" t="s">
        <v>406</v>
      </c>
      <c r="L109">
        <f t="shared" si="4"/>
        <v>971</v>
      </c>
      <c r="M109">
        <f t="shared" ca="1" si="5"/>
        <v>612</v>
      </c>
      <c r="N109">
        <f t="shared" ca="1" si="6"/>
        <v>292</v>
      </c>
      <c r="O109" s="2">
        <f t="shared" ca="1" si="7"/>
        <v>0.63027806385169927</v>
      </c>
    </row>
    <row r="110" spans="1:15" x14ac:dyDescent="0.3">
      <c r="A110" s="3" t="s">
        <v>123</v>
      </c>
      <c r="B110" t="s">
        <v>314</v>
      </c>
      <c r="C110">
        <v>31</v>
      </c>
      <c r="D110" t="s">
        <v>394</v>
      </c>
      <c r="E110">
        <v>844511</v>
      </c>
      <c r="F110">
        <v>1535719</v>
      </c>
      <c r="G110">
        <v>36</v>
      </c>
      <c r="H110">
        <v>739</v>
      </c>
      <c r="I110" t="s">
        <v>397</v>
      </c>
      <c r="J110" t="s">
        <v>401</v>
      </c>
      <c r="K110" t="s">
        <v>405</v>
      </c>
      <c r="L110">
        <f t="shared" si="4"/>
        <v>971</v>
      </c>
      <c r="M110">
        <f t="shared" ca="1" si="5"/>
        <v>612</v>
      </c>
      <c r="N110">
        <f t="shared" ca="1" si="6"/>
        <v>292</v>
      </c>
      <c r="O110" s="2">
        <f t="shared" ca="1" si="7"/>
        <v>0.63027806385169927</v>
      </c>
    </row>
    <row r="111" spans="1:15" x14ac:dyDescent="0.3">
      <c r="A111" s="3" t="s">
        <v>124</v>
      </c>
      <c r="B111" t="s">
        <v>304</v>
      </c>
      <c r="C111">
        <v>47</v>
      </c>
      <c r="D111" t="s">
        <v>395</v>
      </c>
      <c r="E111">
        <v>1130744</v>
      </c>
      <c r="F111">
        <v>1009093</v>
      </c>
      <c r="G111">
        <v>120</v>
      </c>
      <c r="H111">
        <v>541</v>
      </c>
      <c r="I111" t="s">
        <v>398</v>
      </c>
      <c r="J111" t="s">
        <v>401</v>
      </c>
      <c r="K111" t="s">
        <v>404</v>
      </c>
      <c r="L111">
        <f t="shared" si="4"/>
        <v>971</v>
      </c>
      <c r="M111">
        <f t="shared" ca="1" si="5"/>
        <v>612</v>
      </c>
      <c r="N111">
        <f t="shared" ca="1" si="6"/>
        <v>292</v>
      </c>
      <c r="O111" s="2">
        <f t="shared" ca="1" si="7"/>
        <v>0.63027806385169927</v>
      </c>
    </row>
    <row r="112" spans="1:15" x14ac:dyDescent="0.3">
      <c r="A112" s="3" t="s">
        <v>125</v>
      </c>
      <c r="B112" t="s">
        <v>315</v>
      </c>
      <c r="C112">
        <v>52</v>
      </c>
      <c r="D112" t="s">
        <v>394</v>
      </c>
      <c r="E112">
        <v>733494</v>
      </c>
      <c r="F112">
        <v>1392747</v>
      </c>
      <c r="G112">
        <v>180</v>
      </c>
      <c r="H112">
        <v>518</v>
      </c>
      <c r="I112" t="s">
        <v>397</v>
      </c>
      <c r="J112" t="s">
        <v>403</v>
      </c>
      <c r="K112" t="s">
        <v>405</v>
      </c>
      <c r="L112">
        <f t="shared" si="4"/>
        <v>971</v>
      </c>
      <c r="M112">
        <f t="shared" ca="1" si="5"/>
        <v>612</v>
      </c>
      <c r="N112">
        <f t="shared" ca="1" si="6"/>
        <v>292</v>
      </c>
      <c r="O112" s="2">
        <f t="shared" ca="1" si="7"/>
        <v>0.63027806385169927</v>
      </c>
    </row>
    <row r="113" spans="1:15" x14ac:dyDescent="0.3">
      <c r="A113" s="3" t="s">
        <v>126</v>
      </c>
      <c r="B113" t="s">
        <v>316</v>
      </c>
      <c r="C113">
        <v>34</v>
      </c>
      <c r="D113" t="s">
        <v>394</v>
      </c>
      <c r="E113">
        <v>572364</v>
      </c>
      <c r="F113">
        <v>1142251</v>
      </c>
      <c r="G113">
        <v>36</v>
      </c>
      <c r="H113">
        <v>648</v>
      </c>
      <c r="I113" t="s">
        <v>396</v>
      </c>
      <c r="J113" t="s">
        <v>403</v>
      </c>
      <c r="K113" t="s">
        <v>406</v>
      </c>
      <c r="L113">
        <f t="shared" si="4"/>
        <v>971</v>
      </c>
      <c r="M113">
        <f t="shared" ca="1" si="5"/>
        <v>612</v>
      </c>
      <c r="N113">
        <f t="shared" ca="1" si="6"/>
        <v>292</v>
      </c>
      <c r="O113" s="2">
        <f t="shared" ca="1" si="7"/>
        <v>0.63027806385169927</v>
      </c>
    </row>
    <row r="114" spans="1:15" x14ac:dyDescent="0.3">
      <c r="A114" s="3" t="s">
        <v>127</v>
      </c>
      <c r="B114" t="s">
        <v>317</v>
      </c>
      <c r="C114">
        <v>50</v>
      </c>
      <c r="D114" t="s">
        <v>395</v>
      </c>
      <c r="E114">
        <v>1366367</v>
      </c>
      <c r="F114">
        <v>1382879</v>
      </c>
      <c r="G114">
        <v>180</v>
      </c>
      <c r="H114">
        <v>709</v>
      </c>
      <c r="I114" t="s">
        <v>398</v>
      </c>
      <c r="J114" t="s">
        <v>401</v>
      </c>
      <c r="K114" t="s">
        <v>404</v>
      </c>
      <c r="L114">
        <f t="shared" si="4"/>
        <v>971</v>
      </c>
      <c r="M114">
        <f t="shared" ca="1" si="5"/>
        <v>612</v>
      </c>
      <c r="N114">
        <f t="shared" ca="1" si="6"/>
        <v>292</v>
      </c>
      <c r="O114" s="2">
        <f t="shared" ca="1" si="7"/>
        <v>0.63027806385169927</v>
      </c>
    </row>
    <row r="115" spans="1:15" x14ac:dyDescent="0.3">
      <c r="A115" s="3" t="s">
        <v>128</v>
      </c>
      <c r="B115" t="s">
        <v>318</v>
      </c>
      <c r="C115">
        <v>28</v>
      </c>
      <c r="D115" t="s">
        <v>394</v>
      </c>
      <c r="E115">
        <v>969242</v>
      </c>
      <c r="F115">
        <v>1714172</v>
      </c>
      <c r="G115">
        <v>180</v>
      </c>
      <c r="H115">
        <v>462</v>
      </c>
      <c r="I115" t="s">
        <v>396</v>
      </c>
      <c r="J115" t="s">
        <v>402</v>
      </c>
      <c r="K115" t="s">
        <v>405</v>
      </c>
      <c r="L115">
        <f t="shared" si="4"/>
        <v>971</v>
      </c>
      <c r="M115">
        <f t="shared" ca="1" si="5"/>
        <v>612</v>
      </c>
      <c r="N115">
        <f t="shared" ca="1" si="6"/>
        <v>292</v>
      </c>
      <c r="O115" s="2">
        <f t="shared" ca="1" si="7"/>
        <v>0.63027806385169927</v>
      </c>
    </row>
    <row r="116" spans="1:15" x14ac:dyDescent="0.3">
      <c r="A116" s="3" t="s">
        <v>129</v>
      </c>
      <c r="B116" t="s">
        <v>319</v>
      </c>
      <c r="C116">
        <v>26</v>
      </c>
      <c r="D116" t="s">
        <v>394</v>
      </c>
      <c r="E116">
        <v>705867</v>
      </c>
      <c r="F116">
        <v>608060</v>
      </c>
      <c r="G116">
        <v>24</v>
      </c>
      <c r="H116">
        <v>548</v>
      </c>
      <c r="I116" t="s">
        <v>397</v>
      </c>
      <c r="J116" t="s">
        <v>402</v>
      </c>
      <c r="K116" t="s">
        <v>406</v>
      </c>
      <c r="L116">
        <f t="shared" si="4"/>
        <v>971</v>
      </c>
      <c r="M116">
        <f t="shared" ca="1" si="5"/>
        <v>612</v>
      </c>
      <c r="N116">
        <f t="shared" ca="1" si="6"/>
        <v>292</v>
      </c>
      <c r="O116" s="2">
        <f t="shared" ca="1" si="7"/>
        <v>0.63027806385169927</v>
      </c>
    </row>
    <row r="117" spans="1:15" x14ac:dyDescent="0.3">
      <c r="A117" s="3" t="s">
        <v>130</v>
      </c>
      <c r="B117" t="s">
        <v>320</v>
      </c>
      <c r="C117">
        <v>47</v>
      </c>
      <c r="D117" t="s">
        <v>394</v>
      </c>
      <c r="E117">
        <v>618363</v>
      </c>
      <c r="F117">
        <v>1822922</v>
      </c>
      <c r="G117">
        <v>120</v>
      </c>
      <c r="H117">
        <v>729</v>
      </c>
      <c r="I117" t="s">
        <v>398</v>
      </c>
      <c r="J117" t="s">
        <v>399</v>
      </c>
      <c r="K117" t="s">
        <v>406</v>
      </c>
      <c r="L117">
        <f t="shared" si="4"/>
        <v>971</v>
      </c>
      <c r="M117">
        <f t="shared" ca="1" si="5"/>
        <v>612</v>
      </c>
      <c r="N117">
        <f t="shared" ca="1" si="6"/>
        <v>292</v>
      </c>
      <c r="O117" s="2">
        <f t="shared" ca="1" si="7"/>
        <v>0.63027806385169927</v>
      </c>
    </row>
    <row r="118" spans="1:15" x14ac:dyDescent="0.3">
      <c r="A118" s="3" t="s">
        <v>131</v>
      </c>
      <c r="B118" t="s">
        <v>321</v>
      </c>
      <c r="C118">
        <v>35</v>
      </c>
      <c r="D118" t="s">
        <v>395</v>
      </c>
      <c r="E118">
        <v>1477364</v>
      </c>
      <c r="F118">
        <v>745206</v>
      </c>
      <c r="G118">
        <v>60</v>
      </c>
      <c r="H118">
        <v>798</v>
      </c>
      <c r="I118" t="s">
        <v>396</v>
      </c>
      <c r="J118" t="s">
        <v>401</v>
      </c>
      <c r="K118" t="s">
        <v>404</v>
      </c>
      <c r="L118">
        <f t="shared" si="4"/>
        <v>971</v>
      </c>
      <c r="M118">
        <f t="shared" ca="1" si="5"/>
        <v>612</v>
      </c>
      <c r="N118">
        <f t="shared" ca="1" si="6"/>
        <v>292</v>
      </c>
      <c r="O118" s="2">
        <f t="shared" ca="1" si="7"/>
        <v>0.63027806385169927</v>
      </c>
    </row>
    <row r="119" spans="1:15" x14ac:dyDescent="0.3">
      <c r="A119" s="3" t="s">
        <v>132</v>
      </c>
      <c r="B119" t="s">
        <v>306</v>
      </c>
      <c r="C119">
        <v>52</v>
      </c>
      <c r="D119" t="s">
        <v>394</v>
      </c>
      <c r="E119">
        <v>909144</v>
      </c>
      <c r="F119">
        <v>865462</v>
      </c>
      <c r="G119">
        <v>120</v>
      </c>
      <c r="H119">
        <v>596</v>
      </c>
      <c r="I119" t="s">
        <v>398</v>
      </c>
      <c r="J119" t="s">
        <v>403</v>
      </c>
      <c r="K119" t="s">
        <v>406</v>
      </c>
      <c r="L119">
        <f t="shared" si="4"/>
        <v>971</v>
      </c>
      <c r="M119">
        <f t="shared" ca="1" si="5"/>
        <v>612</v>
      </c>
      <c r="N119">
        <f t="shared" ca="1" si="6"/>
        <v>292</v>
      </c>
      <c r="O119" s="2">
        <f t="shared" ca="1" si="7"/>
        <v>0.63027806385169927</v>
      </c>
    </row>
    <row r="120" spans="1:15" x14ac:dyDescent="0.3">
      <c r="A120" s="3" t="s">
        <v>133</v>
      </c>
      <c r="B120" t="s">
        <v>322</v>
      </c>
      <c r="C120">
        <v>26</v>
      </c>
      <c r="D120" t="s">
        <v>394</v>
      </c>
      <c r="E120">
        <v>719494</v>
      </c>
      <c r="F120">
        <v>1788539</v>
      </c>
      <c r="G120">
        <v>12</v>
      </c>
      <c r="H120">
        <v>356</v>
      </c>
      <c r="I120" t="s">
        <v>396</v>
      </c>
      <c r="J120" t="s">
        <v>401</v>
      </c>
      <c r="K120" t="s">
        <v>406</v>
      </c>
      <c r="L120">
        <f t="shared" si="4"/>
        <v>971</v>
      </c>
      <c r="M120">
        <f t="shared" ca="1" si="5"/>
        <v>612</v>
      </c>
      <c r="N120">
        <f t="shared" ca="1" si="6"/>
        <v>292</v>
      </c>
      <c r="O120" s="2">
        <f t="shared" ca="1" si="7"/>
        <v>0.63027806385169927</v>
      </c>
    </row>
    <row r="121" spans="1:15" x14ac:dyDescent="0.3">
      <c r="A121" s="3" t="s">
        <v>134</v>
      </c>
      <c r="B121" t="s">
        <v>323</v>
      </c>
      <c r="C121">
        <v>59</v>
      </c>
      <c r="D121" t="s">
        <v>395</v>
      </c>
      <c r="E121">
        <v>1066870</v>
      </c>
      <c r="F121">
        <v>616551</v>
      </c>
      <c r="G121">
        <v>12</v>
      </c>
      <c r="H121">
        <v>729</v>
      </c>
      <c r="I121" t="s">
        <v>398</v>
      </c>
      <c r="J121" t="s">
        <v>402</v>
      </c>
      <c r="K121" t="s">
        <v>404</v>
      </c>
      <c r="L121">
        <f t="shared" si="4"/>
        <v>971</v>
      </c>
      <c r="M121">
        <f t="shared" ca="1" si="5"/>
        <v>612</v>
      </c>
      <c r="N121">
        <f t="shared" ca="1" si="6"/>
        <v>292</v>
      </c>
      <c r="O121" s="2">
        <f t="shared" ca="1" si="7"/>
        <v>0.63027806385169927</v>
      </c>
    </row>
    <row r="122" spans="1:15" x14ac:dyDescent="0.3">
      <c r="A122" s="3" t="s">
        <v>135</v>
      </c>
      <c r="B122" t="s">
        <v>324</v>
      </c>
      <c r="C122">
        <v>55</v>
      </c>
      <c r="D122" t="s">
        <v>395</v>
      </c>
      <c r="E122">
        <v>225506</v>
      </c>
      <c r="F122">
        <v>393992</v>
      </c>
      <c r="G122">
        <v>180</v>
      </c>
      <c r="H122">
        <v>635</v>
      </c>
      <c r="I122" t="s">
        <v>396</v>
      </c>
      <c r="J122" t="s">
        <v>402</v>
      </c>
      <c r="K122" t="s">
        <v>406</v>
      </c>
      <c r="L122">
        <f t="shared" si="4"/>
        <v>971</v>
      </c>
      <c r="M122">
        <f t="shared" ca="1" si="5"/>
        <v>612</v>
      </c>
      <c r="N122">
        <f t="shared" ca="1" si="6"/>
        <v>292</v>
      </c>
      <c r="O122" s="2">
        <f t="shared" ca="1" si="7"/>
        <v>0.63027806385169927</v>
      </c>
    </row>
    <row r="123" spans="1:15" x14ac:dyDescent="0.3">
      <c r="A123" s="3" t="s">
        <v>136</v>
      </c>
      <c r="B123" t="s">
        <v>307</v>
      </c>
      <c r="C123">
        <v>29</v>
      </c>
      <c r="D123" t="s">
        <v>394</v>
      </c>
      <c r="E123">
        <v>1436964</v>
      </c>
      <c r="F123">
        <v>1096284</v>
      </c>
      <c r="G123">
        <v>12</v>
      </c>
      <c r="H123">
        <v>415</v>
      </c>
      <c r="I123" t="s">
        <v>397</v>
      </c>
      <c r="J123" t="s">
        <v>400</v>
      </c>
      <c r="K123" t="s">
        <v>405</v>
      </c>
      <c r="L123">
        <f t="shared" si="4"/>
        <v>971</v>
      </c>
      <c r="M123">
        <f t="shared" ca="1" si="5"/>
        <v>612</v>
      </c>
      <c r="N123">
        <f t="shared" ca="1" si="6"/>
        <v>292</v>
      </c>
      <c r="O123" s="2">
        <f t="shared" ca="1" si="7"/>
        <v>0.63027806385169927</v>
      </c>
    </row>
    <row r="124" spans="1:15" x14ac:dyDescent="0.3">
      <c r="A124" s="3" t="s">
        <v>137</v>
      </c>
      <c r="B124" t="s">
        <v>325</v>
      </c>
      <c r="C124">
        <v>30</v>
      </c>
      <c r="D124" t="s">
        <v>395</v>
      </c>
      <c r="E124">
        <v>281338</v>
      </c>
      <c r="F124">
        <v>1187760</v>
      </c>
      <c r="G124">
        <v>120</v>
      </c>
      <c r="H124">
        <v>603</v>
      </c>
      <c r="I124" t="s">
        <v>396</v>
      </c>
      <c r="J124" t="s">
        <v>399</v>
      </c>
      <c r="K124" t="s">
        <v>404</v>
      </c>
      <c r="L124">
        <f t="shared" si="4"/>
        <v>971</v>
      </c>
      <c r="M124">
        <f t="shared" ca="1" si="5"/>
        <v>612</v>
      </c>
      <c r="N124">
        <f t="shared" ca="1" si="6"/>
        <v>292</v>
      </c>
      <c r="O124" s="2">
        <f t="shared" ca="1" si="7"/>
        <v>0.63027806385169927</v>
      </c>
    </row>
    <row r="125" spans="1:15" x14ac:dyDescent="0.3">
      <c r="A125" s="3" t="s">
        <v>138</v>
      </c>
      <c r="B125" t="s">
        <v>313</v>
      </c>
      <c r="C125">
        <v>27</v>
      </c>
      <c r="D125" t="s">
        <v>395</v>
      </c>
      <c r="E125">
        <v>243813</v>
      </c>
      <c r="F125">
        <v>1857628</v>
      </c>
      <c r="G125">
        <v>24</v>
      </c>
      <c r="H125">
        <v>651</v>
      </c>
      <c r="I125" t="s">
        <v>398</v>
      </c>
      <c r="J125" t="s">
        <v>402</v>
      </c>
      <c r="K125" t="s">
        <v>406</v>
      </c>
      <c r="L125">
        <f t="shared" si="4"/>
        <v>971</v>
      </c>
      <c r="M125">
        <f t="shared" ca="1" si="5"/>
        <v>612</v>
      </c>
      <c r="N125">
        <f t="shared" ca="1" si="6"/>
        <v>292</v>
      </c>
      <c r="O125" s="2">
        <f t="shared" ca="1" si="7"/>
        <v>0.63027806385169927</v>
      </c>
    </row>
    <row r="126" spans="1:15" x14ac:dyDescent="0.3">
      <c r="A126" s="3" t="s">
        <v>139</v>
      </c>
      <c r="B126" t="s">
        <v>264</v>
      </c>
      <c r="C126">
        <v>44</v>
      </c>
      <c r="D126" t="s">
        <v>394</v>
      </c>
      <c r="E126">
        <v>370501</v>
      </c>
      <c r="F126">
        <v>1986113</v>
      </c>
      <c r="G126">
        <v>36</v>
      </c>
      <c r="H126">
        <v>385</v>
      </c>
      <c r="I126" t="s">
        <v>396</v>
      </c>
      <c r="J126" t="s">
        <v>400</v>
      </c>
      <c r="K126" t="s">
        <v>405</v>
      </c>
      <c r="L126">
        <f t="shared" si="4"/>
        <v>971</v>
      </c>
      <c r="M126">
        <f t="shared" ca="1" si="5"/>
        <v>612</v>
      </c>
      <c r="N126">
        <f t="shared" ca="1" si="6"/>
        <v>292</v>
      </c>
      <c r="O126" s="2">
        <f t="shared" ca="1" si="7"/>
        <v>0.63027806385169927</v>
      </c>
    </row>
    <row r="127" spans="1:15" x14ac:dyDescent="0.3">
      <c r="A127" s="3" t="s">
        <v>140</v>
      </c>
      <c r="B127" t="s">
        <v>326</v>
      </c>
      <c r="C127">
        <v>37</v>
      </c>
      <c r="D127" t="s">
        <v>395</v>
      </c>
      <c r="E127">
        <v>1045852</v>
      </c>
      <c r="F127">
        <v>394280</v>
      </c>
      <c r="G127">
        <v>180</v>
      </c>
      <c r="H127">
        <v>447</v>
      </c>
      <c r="I127" t="s">
        <v>398</v>
      </c>
      <c r="J127" t="s">
        <v>399</v>
      </c>
      <c r="K127" t="s">
        <v>404</v>
      </c>
      <c r="L127">
        <f t="shared" si="4"/>
        <v>971</v>
      </c>
      <c r="M127">
        <f t="shared" ca="1" si="5"/>
        <v>612</v>
      </c>
      <c r="N127">
        <f t="shared" ca="1" si="6"/>
        <v>292</v>
      </c>
      <c r="O127" s="2">
        <f t="shared" ca="1" si="7"/>
        <v>0.63027806385169927</v>
      </c>
    </row>
    <row r="128" spans="1:15" x14ac:dyDescent="0.3">
      <c r="A128" s="3" t="s">
        <v>141</v>
      </c>
      <c r="B128" t="s">
        <v>327</v>
      </c>
      <c r="C128">
        <v>30</v>
      </c>
      <c r="D128" t="s">
        <v>395</v>
      </c>
      <c r="E128">
        <v>441104</v>
      </c>
      <c r="F128">
        <v>1008428</v>
      </c>
      <c r="G128">
        <v>60</v>
      </c>
      <c r="H128">
        <v>453</v>
      </c>
      <c r="I128" t="s">
        <v>396</v>
      </c>
      <c r="J128" t="s">
        <v>401</v>
      </c>
      <c r="K128" t="s">
        <v>406</v>
      </c>
      <c r="L128">
        <f t="shared" si="4"/>
        <v>971</v>
      </c>
      <c r="M128">
        <f t="shared" ca="1" si="5"/>
        <v>612</v>
      </c>
      <c r="N128">
        <f t="shared" ca="1" si="6"/>
        <v>292</v>
      </c>
      <c r="O128" s="2">
        <f t="shared" ca="1" si="7"/>
        <v>0.63027806385169927</v>
      </c>
    </row>
    <row r="129" spans="1:15" x14ac:dyDescent="0.3">
      <c r="A129" s="3" t="s">
        <v>142</v>
      </c>
      <c r="B129" t="s">
        <v>328</v>
      </c>
      <c r="C129">
        <v>28</v>
      </c>
      <c r="D129" t="s">
        <v>395</v>
      </c>
      <c r="E129">
        <v>862288</v>
      </c>
      <c r="F129">
        <v>1904524</v>
      </c>
      <c r="G129">
        <v>180</v>
      </c>
      <c r="H129">
        <v>444</v>
      </c>
      <c r="I129" t="s">
        <v>398</v>
      </c>
      <c r="J129" t="s">
        <v>400</v>
      </c>
      <c r="K129" t="s">
        <v>406</v>
      </c>
      <c r="L129">
        <f t="shared" si="4"/>
        <v>971</v>
      </c>
      <c r="M129">
        <f t="shared" ca="1" si="5"/>
        <v>612</v>
      </c>
      <c r="N129">
        <f t="shared" ca="1" si="6"/>
        <v>292</v>
      </c>
      <c r="O129" s="2">
        <f t="shared" ca="1" si="7"/>
        <v>0.63027806385169927</v>
      </c>
    </row>
    <row r="130" spans="1:15" x14ac:dyDescent="0.3">
      <c r="A130" s="3" t="s">
        <v>143</v>
      </c>
      <c r="B130" t="s">
        <v>329</v>
      </c>
      <c r="C130">
        <v>36</v>
      </c>
      <c r="D130" t="s">
        <v>395</v>
      </c>
      <c r="E130">
        <v>688743</v>
      </c>
      <c r="F130">
        <v>1773927</v>
      </c>
      <c r="G130">
        <v>180</v>
      </c>
      <c r="H130">
        <v>862</v>
      </c>
      <c r="I130" t="s">
        <v>396</v>
      </c>
      <c r="J130" t="s">
        <v>403</v>
      </c>
      <c r="K130" t="s">
        <v>404</v>
      </c>
      <c r="L130">
        <f t="shared" ref="L130:L193" si="8">COUNTA($A$2:$A$1001)</f>
        <v>971</v>
      </c>
      <c r="M130">
        <f t="shared" ca="1" si="5"/>
        <v>612</v>
      </c>
      <c r="N130">
        <f t="shared" ca="1" si="6"/>
        <v>292</v>
      </c>
      <c r="O130" s="2">
        <f t="shared" ca="1" si="7"/>
        <v>0.63027806385169927</v>
      </c>
    </row>
    <row r="131" spans="1:15" x14ac:dyDescent="0.3">
      <c r="A131" s="3" t="s">
        <v>144</v>
      </c>
      <c r="B131" t="s">
        <v>330</v>
      </c>
      <c r="C131">
        <v>32</v>
      </c>
      <c r="D131" t="s">
        <v>395</v>
      </c>
      <c r="E131">
        <v>1003009</v>
      </c>
      <c r="F131">
        <v>79066</v>
      </c>
      <c r="G131">
        <v>24</v>
      </c>
      <c r="H131">
        <v>538</v>
      </c>
      <c r="I131" t="s">
        <v>396</v>
      </c>
      <c r="J131" t="s">
        <v>401</v>
      </c>
      <c r="K131" t="s">
        <v>405</v>
      </c>
      <c r="L131">
        <f t="shared" si="8"/>
        <v>971</v>
      </c>
      <c r="M131">
        <f t="shared" ref="M131:M194" ca="1" si="9">COUNTIF($K$2:$K$1001,"Approved")</f>
        <v>612</v>
      </c>
      <c r="N131">
        <f t="shared" ref="N131:N194" ca="1" si="10">COUNTIF($K$2:$K$1001,"Rejected")</f>
        <v>292</v>
      </c>
      <c r="O131" s="2">
        <f t="shared" ref="O131:O194" ca="1" si="11">COUNTIF($K$2:$K$1001,"Approved") / COUNTA($A$2:$A$1001)</f>
        <v>0.63027806385169927</v>
      </c>
    </row>
    <row r="132" spans="1:15" x14ac:dyDescent="0.3">
      <c r="A132" s="3" t="s">
        <v>145</v>
      </c>
      <c r="B132" t="s">
        <v>309</v>
      </c>
      <c r="C132">
        <v>41</v>
      </c>
      <c r="D132" t="s">
        <v>394</v>
      </c>
      <c r="E132">
        <v>455347</v>
      </c>
      <c r="F132">
        <v>805028</v>
      </c>
      <c r="G132">
        <v>24</v>
      </c>
      <c r="H132">
        <v>893</v>
      </c>
      <c r="I132" t="s">
        <v>396</v>
      </c>
      <c r="J132" t="s">
        <v>400</v>
      </c>
      <c r="K132" t="s">
        <v>405</v>
      </c>
      <c r="L132">
        <f t="shared" si="8"/>
        <v>971</v>
      </c>
      <c r="M132">
        <f t="shared" ca="1" si="9"/>
        <v>612</v>
      </c>
      <c r="N132">
        <f t="shared" ca="1" si="10"/>
        <v>292</v>
      </c>
      <c r="O132" s="2">
        <f t="shared" ca="1" si="11"/>
        <v>0.63027806385169927</v>
      </c>
    </row>
    <row r="133" spans="1:15" x14ac:dyDescent="0.3">
      <c r="A133" s="3" t="s">
        <v>146</v>
      </c>
      <c r="B133" t="s">
        <v>331</v>
      </c>
      <c r="C133">
        <v>23</v>
      </c>
      <c r="D133" t="s">
        <v>395</v>
      </c>
      <c r="E133">
        <v>747010</v>
      </c>
      <c r="F133">
        <v>577722</v>
      </c>
      <c r="G133">
        <v>36</v>
      </c>
      <c r="H133">
        <v>364</v>
      </c>
      <c r="I133" t="s">
        <v>398</v>
      </c>
      <c r="J133" t="s">
        <v>403</v>
      </c>
      <c r="K133" t="s">
        <v>404</v>
      </c>
      <c r="L133">
        <f t="shared" si="8"/>
        <v>971</v>
      </c>
      <c r="M133">
        <f t="shared" ca="1" si="9"/>
        <v>612</v>
      </c>
      <c r="N133">
        <f t="shared" ca="1" si="10"/>
        <v>292</v>
      </c>
      <c r="O133" s="2">
        <f t="shared" ca="1" si="11"/>
        <v>0.63027806385169927</v>
      </c>
    </row>
    <row r="134" spans="1:15" x14ac:dyDescent="0.3">
      <c r="A134" s="3" t="s">
        <v>147</v>
      </c>
      <c r="B134" t="s">
        <v>332</v>
      </c>
      <c r="C134">
        <v>43</v>
      </c>
      <c r="D134" t="s">
        <v>395</v>
      </c>
      <c r="E134">
        <v>1194897</v>
      </c>
      <c r="F134">
        <v>1537931</v>
      </c>
      <c r="G134">
        <v>24</v>
      </c>
      <c r="H134">
        <v>795</v>
      </c>
      <c r="I134" t="s">
        <v>396</v>
      </c>
      <c r="J134" t="s">
        <v>401</v>
      </c>
      <c r="K134" t="s">
        <v>405</v>
      </c>
      <c r="L134">
        <f t="shared" si="8"/>
        <v>971</v>
      </c>
      <c r="M134">
        <f t="shared" ca="1" si="9"/>
        <v>612</v>
      </c>
      <c r="N134">
        <f t="shared" ca="1" si="10"/>
        <v>292</v>
      </c>
      <c r="O134" s="2">
        <f t="shared" ca="1" si="11"/>
        <v>0.63027806385169927</v>
      </c>
    </row>
    <row r="135" spans="1:15" x14ac:dyDescent="0.3">
      <c r="A135" s="3" t="s">
        <v>148</v>
      </c>
      <c r="B135" t="s">
        <v>333</v>
      </c>
      <c r="C135">
        <v>40</v>
      </c>
      <c r="D135" t="s">
        <v>394</v>
      </c>
      <c r="E135">
        <v>1184719</v>
      </c>
      <c r="F135">
        <v>114346</v>
      </c>
      <c r="G135">
        <v>180</v>
      </c>
      <c r="H135">
        <v>650</v>
      </c>
      <c r="I135" t="s">
        <v>396</v>
      </c>
      <c r="J135" t="s">
        <v>401</v>
      </c>
      <c r="K135" t="s">
        <v>406</v>
      </c>
      <c r="L135">
        <f t="shared" si="8"/>
        <v>971</v>
      </c>
      <c r="M135">
        <f t="shared" ca="1" si="9"/>
        <v>612</v>
      </c>
      <c r="N135">
        <f t="shared" ca="1" si="10"/>
        <v>292</v>
      </c>
      <c r="O135" s="2">
        <f t="shared" ca="1" si="11"/>
        <v>0.63027806385169927</v>
      </c>
    </row>
    <row r="136" spans="1:15" x14ac:dyDescent="0.3">
      <c r="A136" s="3" t="s">
        <v>149</v>
      </c>
      <c r="B136" t="s">
        <v>333</v>
      </c>
      <c r="C136">
        <v>37</v>
      </c>
      <c r="D136" t="s">
        <v>395</v>
      </c>
      <c r="E136">
        <v>968298</v>
      </c>
      <c r="F136">
        <v>1370652</v>
      </c>
      <c r="G136">
        <v>12</v>
      </c>
      <c r="H136">
        <v>399</v>
      </c>
      <c r="I136" t="s">
        <v>397</v>
      </c>
      <c r="J136" t="s">
        <v>403</v>
      </c>
      <c r="K136" t="s">
        <v>406</v>
      </c>
      <c r="L136">
        <f t="shared" si="8"/>
        <v>971</v>
      </c>
      <c r="M136">
        <f t="shared" ca="1" si="9"/>
        <v>612</v>
      </c>
      <c r="N136">
        <f t="shared" ca="1" si="10"/>
        <v>292</v>
      </c>
      <c r="O136" s="2">
        <f t="shared" ca="1" si="11"/>
        <v>0.63027806385169927</v>
      </c>
    </row>
    <row r="137" spans="1:15" x14ac:dyDescent="0.3">
      <c r="A137" s="3" t="s">
        <v>150</v>
      </c>
      <c r="B137" t="s">
        <v>334</v>
      </c>
      <c r="C137">
        <v>53</v>
      </c>
      <c r="D137" t="s">
        <v>394</v>
      </c>
      <c r="E137">
        <v>898738</v>
      </c>
      <c r="F137">
        <v>1615178</v>
      </c>
      <c r="G137">
        <v>180</v>
      </c>
      <c r="H137">
        <v>529</v>
      </c>
      <c r="I137" t="s">
        <v>398</v>
      </c>
      <c r="J137" t="s">
        <v>400</v>
      </c>
      <c r="K137" t="s">
        <v>406</v>
      </c>
      <c r="L137">
        <f t="shared" si="8"/>
        <v>971</v>
      </c>
      <c r="M137">
        <f t="shared" ca="1" si="9"/>
        <v>612</v>
      </c>
      <c r="N137">
        <f t="shared" ca="1" si="10"/>
        <v>292</v>
      </c>
      <c r="O137" s="2">
        <f t="shared" ca="1" si="11"/>
        <v>0.63027806385169927</v>
      </c>
    </row>
    <row r="138" spans="1:15" x14ac:dyDescent="0.3">
      <c r="A138" s="3" t="s">
        <v>151</v>
      </c>
      <c r="B138" t="s">
        <v>335</v>
      </c>
      <c r="C138">
        <v>24</v>
      </c>
      <c r="D138" t="s">
        <v>394</v>
      </c>
      <c r="E138">
        <v>254780</v>
      </c>
      <c r="F138">
        <v>1369985</v>
      </c>
      <c r="G138">
        <v>120</v>
      </c>
      <c r="H138">
        <v>759</v>
      </c>
      <c r="I138" t="s">
        <v>396</v>
      </c>
      <c r="J138" t="s">
        <v>400</v>
      </c>
      <c r="K138" t="s">
        <v>405</v>
      </c>
      <c r="L138">
        <f t="shared" si="8"/>
        <v>971</v>
      </c>
      <c r="M138">
        <f t="shared" ca="1" si="9"/>
        <v>612</v>
      </c>
      <c r="N138">
        <f t="shared" ca="1" si="10"/>
        <v>292</v>
      </c>
      <c r="O138" s="2">
        <f t="shared" ca="1" si="11"/>
        <v>0.63027806385169927</v>
      </c>
    </row>
    <row r="139" spans="1:15" x14ac:dyDescent="0.3">
      <c r="A139" s="3" t="s">
        <v>152</v>
      </c>
      <c r="B139" t="s">
        <v>336</v>
      </c>
      <c r="C139">
        <v>57</v>
      </c>
      <c r="D139" t="s">
        <v>395</v>
      </c>
      <c r="E139">
        <v>1188772</v>
      </c>
      <c r="F139">
        <v>1724333</v>
      </c>
      <c r="G139">
        <v>24</v>
      </c>
      <c r="H139">
        <v>846</v>
      </c>
      <c r="I139" t="s">
        <v>396</v>
      </c>
      <c r="J139" t="s">
        <v>401</v>
      </c>
      <c r="K139" t="s">
        <v>406</v>
      </c>
      <c r="L139">
        <f t="shared" si="8"/>
        <v>971</v>
      </c>
      <c r="M139">
        <f t="shared" ca="1" si="9"/>
        <v>612</v>
      </c>
      <c r="N139">
        <f t="shared" ca="1" si="10"/>
        <v>292</v>
      </c>
      <c r="O139" s="2">
        <f t="shared" ca="1" si="11"/>
        <v>0.63027806385169927</v>
      </c>
    </row>
    <row r="140" spans="1:15" x14ac:dyDescent="0.3">
      <c r="A140" s="3" t="s">
        <v>153</v>
      </c>
      <c r="B140" t="s">
        <v>337</v>
      </c>
      <c r="C140">
        <v>21</v>
      </c>
      <c r="D140" t="s">
        <v>394</v>
      </c>
      <c r="E140">
        <v>609200</v>
      </c>
      <c r="F140">
        <v>1599887</v>
      </c>
      <c r="G140">
        <v>24</v>
      </c>
      <c r="H140">
        <v>601</v>
      </c>
      <c r="I140" t="s">
        <v>398</v>
      </c>
      <c r="J140" t="s">
        <v>401</v>
      </c>
      <c r="K140" t="s">
        <v>406</v>
      </c>
      <c r="L140">
        <f t="shared" si="8"/>
        <v>971</v>
      </c>
      <c r="M140">
        <f t="shared" ca="1" si="9"/>
        <v>612</v>
      </c>
      <c r="N140">
        <f t="shared" ca="1" si="10"/>
        <v>292</v>
      </c>
      <c r="O140" s="2">
        <f t="shared" ca="1" si="11"/>
        <v>0.63027806385169927</v>
      </c>
    </row>
    <row r="141" spans="1:15" x14ac:dyDescent="0.3">
      <c r="A141" s="3" t="s">
        <v>154</v>
      </c>
      <c r="B141" t="s">
        <v>338</v>
      </c>
      <c r="C141">
        <v>27</v>
      </c>
      <c r="D141" t="s">
        <v>394</v>
      </c>
      <c r="E141">
        <v>666528</v>
      </c>
      <c r="F141">
        <v>1652254</v>
      </c>
      <c r="G141">
        <v>60</v>
      </c>
      <c r="H141">
        <v>826</v>
      </c>
      <c r="I141" t="s">
        <v>398</v>
      </c>
      <c r="J141" t="s">
        <v>403</v>
      </c>
      <c r="K141" t="s">
        <v>405</v>
      </c>
      <c r="L141">
        <f t="shared" si="8"/>
        <v>971</v>
      </c>
      <c r="M141">
        <f t="shared" ca="1" si="9"/>
        <v>612</v>
      </c>
      <c r="N141">
        <f t="shared" ca="1" si="10"/>
        <v>292</v>
      </c>
      <c r="O141" s="2">
        <f t="shared" ca="1" si="11"/>
        <v>0.63027806385169927</v>
      </c>
    </row>
    <row r="142" spans="1:15" x14ac:dyDescent="0.3">
      <c r="A142" s="3" t="s">
        <v>155</v>
      </c>
      <c r="B142" t="s">
        <v>339</v>
      </c>
      <c r="C142">
        <v>33</v>
      </c>
      <c r="D142" t="s">
        <v>395</v>
      </c>
      <c r="E142">
        <v>405651</v>
      </c>
      <c r="F142">
        <v>855795</v>
      </c>
      <c r="G142">
        <v>36</v>
      </c>
      <c r="H142">
        <v>398</v>
      </c>
      <c r="I142" t="s">
        <v>398</v>
      </c>
      <c r="J142" t="s">
        <v>399</v>
      </c>
      <c r="K142" t="s">
        <v>404</v>
      </c>
      <c r="L142">
        <f t="shared" si="8"/>
        <v>971</v>
      </c>
      <c r="M142">
        <f t="shared" ca="1" si="9"/>
        <v>612</v>
      </c>
      <c r="N142">
        <f t="shared" ca="1" si="10"/>
        <v>292</v>
      </c>
      <c r="O142" s="2">
        <f t="shared" ca="1" si="11"/>
        <v>0.63027806385169927</v>
      </c>
    </row>
    <row r="143" spans="1:15" x14ac:dyDescent="0.3">
      <c r="A143" s="3" t="s">
        <v>156</v>
      </c>
      <c r="B143" t="s">
        <v>340</v>
      </c>
      <c r="C143">
        <v>21</v>
      </c>
      <c r="D143" t="s">
        <v>395</v>
      </c>
      <c r="E143">
        <v>550856</v>
      </c>
      <c r="F143">
        <v>185746</v>
      </c>
      <c r="G143">
        <v>24</v>
      </c>
      <c r="H143">
        <v>899</v>
      </c>
      <c r="I143" t="s">
        <v>398</v>
      </c>
      <c r="J143" t="s">
        <v>401</v>
      </c>
      <c r="K143" t="s">
        <v>406</v>
      </c>
      <c r="L143">
        <f t="shared" si="8"/>
        <v>971</v>
      </c>
      <c r="M143">
        <f t="shared" ca="1" si="9"/>
        <v>612</v>
      </c>
      <c r="N143">
        <f t="shared" ca="1" si="10"/>
        <v>292</v>
      </c>
      <c r="O143" s="2">
        <f t="shared" ca="1" si="11"/>
        <v>0.63027806385169927</v>
      </c>
    </row>
    <row r="144" spans="1:15" x14ac:dyDescent="0.3">
      <c r="A144" s="3" t="s">
        <v>157</v>
      </c>
      <c r="B144" t="s">
        <v>341</v>
      </c>
      <c r="C144">
        <v>40</v>
      </c>
      <c r="D144" t="s">
        <v>394</v>
      </c>
      <c r="E144">
        <v>433176</v>
      </c>
      <c r="F144">
        <v>405636</v>
      </c>
      <c r="G144">
        <v>60</v>
      </c>
      <c r="H144">
        <v>772</v>
      </c>
      <c r="I144" t="s">
        <v>396</v>
      </c>
      <c r="J144" t="s">
        <v>401</v>
      </c>
      <c r="K144" t="s">
        <v>406</v>
      </c>
      <c r="L144">
        <f t="shared" si="8"/>
        <v>971</v>
      </c>
      <c r="M144">
        <f t="shared" ca="1" si="9"/>
        <v>612</v>
      </c>
      <c r="N144">
        <f t="shared" ca="1" si="10"/>
        <v>292</v>
      </c>
      <c r="O144" s="2">
        <f t="shared" ca="1" si="11"/>
        <v>0.63027806385169927</v>
      </c>
    </row>
    <row r="145" spans="1:15" x14ac:dyDescent="0.3">
      <c r="A145" s="3" t="s">
        <v>158</v>
      </c>
      <c r="B145" t="s">
        <v>342</v>
      </c>
      <c r="C145">
        <v>60</v>
      </c>
      <c r="D145" t="s">
        <v>394</v>
      </c>
      <c r="E145">
        <v>1375559</v>
      </c>
      <c r="F145">
        <v>1451081</v>
      </c>
      <c r="G145">
        <v>24</v>
      </c>
      <c r="H145">
        <v>784</v>
      </c>
      <c r="I145" t="s">
        <v>398</v>
      </c>
      <c r="J145" t="s">
        <v>400</v>
      </c>
      <c r="K145" t="s">
        <v>405</v>
      </c>
      <c r="L145">
        <f t="shared" si="8"/>
        <v>971</v>
      </c>
      <c r="M145">
        <f t="shared" ca="1" si="9"/>
        <v>612</v>
      </c>
      <c r="N145">
        <f t="shared" ca="1" si="10"/>
        <v>292</v>
      </c>
      <c r="O145" s="2">
        <f t="shared" ca="1" si="11"/>
        <v>0.63027806385169927</v>
      </c>
    </row>
    <row r="146" spans="1:15" x14ac:dyDescent="0.3">
      <c r="A146" s="3" t="s">
        <v>159</v>
      </c>
      <c r="B146" t="s">
        <v>343</v>
      </c>
      <c r="C146">
        <v>34</v>
      </c>
      <c r="D146" t="s">
        <v>395</v>
      </c>
      <c r="E146">
        <v>968417</v>
      </c>
      <c r="F146">
        <v>904360</v>
      </c>
      <c r="G146">
        <v>24</v>
      </c>
      <c r="H146">
        <v>413</v>
      </c>
      <c r="I146" t="s">
        <v>396</v>
      </c>
      <c r="J146" t="s">
        <v>399</v>
      </c>
      <c r="K146" t="s">
        <v>406</v>
      </c>
      <c r="L146">
        <f t="shared" si="8"/>
        <v>971</v>
      </c>
      <c r="M146">
        <f t="shared" ca="1" si="9"/>
        <v>612</v>
      </c>
      <c r="N146">
        <f t="shared" ca="1" si="10"/>
        <v>292</v>
      </c>
      <c r="O146" s="2">
        <f t="shared" ca="1" si="11"/>
        <v>0.63027806385169927</v>
      </c>
    </row>
    <row r="147" spans="1:15" x14ac:dyDescent="0.3">
      <c r="A147" s="3" t="s">
        <v>160</v>
      </c>
      <c r="B147" t="s">
        <v>344</v>
      </c>
      <c r="C147">
        <v>60</v>
      </c>
      <c r="D147" t="s">
        <v>395</v>
      </c>
      <c r="E147">
        <v>756014</v>
      </c>
      <c r="F147">
        <v>951924</v>
      </c>
      <c r="G147">
        <v>12</v>
      </c>
      <c r="H147">
        <v>673</v>
      </c>
      <c r="I147" t="s">
        <v>396</v>
      </c>
      <c r="J147" t="s">
        <v>400</v>
      </c>
      <c r="K147" t="s">
        <v>404</v>
      </c>
      <c r="L147">
        <f t="shared" si="8"/>
        <v>971</v>
      </c>
      <c r="M147">
        <f t="shared" ca="1" si="9"/>
        <v>612</v>
      </c>
      <c r="N147">
        <f t="shared" ca="1" si="10"/>
        <v>292</v>
      </c>
      <c r="O147" s="2">
        <f t="shared" ca="1" si="11"/>
        <v>0.63027806385169927</v>
      </c>
    </row>
    <row r="148" spans="1:15" x14ac:dyDescent="0.3">
      <c r="A148" s="3" t="s">
        <v>161</v>
      </c>
      <c r="B148" t="s">
        <v>345</v>
      </c>
      <c r="C148">
        <v>52</v>
      </c>
      <c r="D148" t="s">
        <v>394</v>
      </c>
      <c r="E148">
        <v>1433416</v>
      </c>
      <c r="F148">
        <v>1270778</v>
      </c>
      <c r="G148">
        <v>24</v>
      </c>
      <c r="H148">
        <v>520</v>
      </c>
      <c r="I148" t="s">
        <v>396</v>
      </c>
      <c r="J148" t="s">
        <v>402</v>
      </c>
      <c r="K148" t="s">
        <v>404</v>
      </c>
      <c r="L148">
        <f t="shared" si="8"/>
        <v>971</v>
      </c>
      <c r="M148">
        <f t="shared" ca="1" si="9"/>
        <v>612</v>
      </c>
      <c r="N148">
        <f t="shared" ca="1" si="10"/>
        <v>292</v>
      </c>
      <c r="O148" s="2">
        <f t="shared" ca="1" si="11"/>
        <v>0.63027806385169927</v>
      </c>
    </row>
    <row r="149" spans="1:15" x14ac:dyDescent="0.3">
      <c r="A149" s="3" t="s">
        <v>162</v>
      </c>
      <c r="B149" t="s">
        <v>346</v>
      </c>
      <c r="C149">
        <v>49</v>
      </c>
      <c r="D149" t="s">
        <v>395</v>
      </c>
      <c r="E149">
        <v>1440748</v>
      </c>
      <c r="F149">
        <v>1125082</v>
      </c>
      <c r="G149">
        <v>60</v>
      </c>
      <c r="H149">
        <v>457</v>
      </c>
      <c r="I149" t="s">
        <v>396</v>
      </c>
      <c r="J149" t="s">
        <v>400</v>
      </c>
      <c r="K149" t="s">
        <v>405</v>
      </c>
      <c r="L149">
        <f t="shared" si="8"/>
        <v>971</v>
      </c>
      <c r="M149">
        <f t="shared" ca="1" si="9"/>
        <v>612</v>
      </c>
      <c r="N149">
        <f t="shared" ca="1" si="10"/>
        <v>292</v>
      </c>
      <c r="O149" s="2">
        <f t="shared" ca="1" si="11"/>
        <v>0.63027806385169927</v>
      </c>
    </row>
    <row r="150" spans="1:15" x14ac:dyDescent="0.3">
      <c r="A150" s="3" t="s">
        <v>163</v>
      </c>
      <c r="B150" t="s">
        <v>347</v>
      </c>
      <c r="C150">
        <v>35</v>
      </c>
      <c r="D150" t="s">
        <v>395</v>
      </c>
      <c r="E150">
        <v>627357</v>
      </c>
      <c r="F150">
        <v>1437421</v>
      </c>
      <c r="G150">
        <v>60</v>
      </c>
      <c r="H150">
        <v>386</v>
      </c>
      <c r="I150" t="s">
        <v>398</v>
      </c>
      <c r="J150" t="s">
        <v>402</v>
      </c>
      <c r="K150" t="s">
        <v>405</v>
      </c>
      <c r="L150">
        <f t="shared" si="8"/>
        <v>971</v>
      </c>
      <c r="M150">
        <f t="shared" ca="1" si="9"/>
        <v>612</v>
      </c>
      <c r="N150">
        <f t="shared" ca="1" si="10"/>
        <v>292</v>
      </c>
      <c r="O150" s="2">
        <f t="shared" ca="1" si="11"/>
        <v>0.63027806385169927</v>
      </c>
    </row>
    <row r="151" spans="1:15" x14ac:dyDescent="0.3">
      <c r="A151" s="3" t="s">
        <v>164</v>
      </c>
      <c r="B151" t="s">
        <v>348</v>
      </c>
      <c r="C151">
        <v>29</v>
      </c>
      <c r="D151" t="s">
        <v>394</v>
      </c>
      <c r="E151">
        <v>229923</v>
      </c>
      <c r="F151">
        <v>1216647</v>
      </c>
      <c r="G151">
        <v>36</v>
      </c>
      <c r="H151">
        <v>336</v>
      </c>
      <c r="I151" t="s">
        <v>396</v>
      </c>
      <c r="J151" t="s">
        <v>402</v>
      </c>
      <c r="K151" t="s">
        <v>404</v>
      </c>
      <c r="L151">
        <f t="shared" si="8"/>
        <v>971</v>
      </c>
      <c r="M151">
        <f t="shared" ca="1" si="9"/>
        <v>612</v>
      </c>
      <c r="N151">
        <f t="shared" ca="1" si="10"/>
        <v>292</v>
      </c>
      <c r="O151" s="2">
        <f t="shared" ca="1" si="11"/>
        <v>0.63027806385169927</v>
      </c>
    </row>
    <row r="152" spans="1:15" x14ac:dyDescent="0.3">
      <c r="A152" s="3" t="s">
        <v>165</v>
      </c>
      <c r="B152" t="s">
        <v>349</v>
      </c>
      <c r="C152">
        <v>50</v>
      </c>
      <c r="D152" t="s">
        <v>395</v>
      </c>
      <c r="E152">
        <v>377282</v>
      </c>
      <c r="F152">
        <v>1807917</v>
      </c>
      <c r="G152">
        <v>12</v>
      </c>
      <c r="H152">
        <v>565</v>
      </c>
      <c r="I152" t="s">
        <v>398</v>
      </c>
      <c r="J152" t="s">
        <v>401</v>
      </c>
      <c r="K152" t="s">
        <v>404</v>
      </c>
      <c r="L152">
        <f t="shared" si="8"/>
        <v>971</v>
      </c>
      <c r="M152">
        <f t="shared" ca="1" si="9"/>
        <v>612</v>
      </c>
      <c r="N152">
        <f t="shared" ca="1" si="10"/>
        <v>292</v>
      </c>
      <c r="O152" s="2">
        <f t="shared" ca="1" si="11"/>
        <v>0.63027806385169927</v>
      </c>
    </row>
    <row r="153" spans="1:15" x14ac:dyDescent="0.3">
      <c r="A153" s="3" t="s">
        <v>166</v>
      </c>
      <c r="B153" t="s">
        <v>350</v>
      </c>
      <c r="C153">
        <v>36</v>
      </c>
      <c r="D153" t="s">
        <v>394</v>
      </c>
      <c r="E153">
        <v>638741</v>
      </c>
      <c r="F153">
        <v>1925946</v>
      </c>
      <c r="G153">
        <v>36</v>
      </c>
      <c r="H153">
        <v>781</v>
      </c>
      <c r="I153" t="s">
        <v>398</v>
      </c>
      <c r="J153" t="s">
        <v>400</v>
      </c>
      <c r="K153" t="s">
        <v>405</v>
      </c>
      <c r="L153">
        <f t="shared" si="8"/>
        <v>971</v>
      </c>
      <c r="M153">
        <f t="shared" ca="1" si="9"/>
        <v>612</v>
      </c>
      <c r="N153">
        <f t="shared" ca="1" si="10"/>
        <v>292</v>
      </c>
      <c r="O153" s="2">
        <f t="shared" ca="1" si="11"/>
        <v>0.63027806385169927</v>
      </c>
    </row>
    <row r="154" spans="1:15" x14ac:dyDescent="0.3">
      <c r="A154" s="3" t="s">
        <v>167</v>
      </c>
      <c r="B154" t="s">
        <v>351</v>
      </c>
      <c r="C154">
        <v>48</v>
      </c>
      <c r="D154" t="s">
        <v>395</v>
      </c>
      <c r="E154">
        <v>621131</v>
      </c>
      <c r="F154">
        <v>154596</v>
      </c>
      <c r="G154">
        <v>120</v>
      </c>
      <c r="H154">
        <v>551</v>
      </c>
      <c r="I154" t="s">
        <v>397</v>
      </c>
      <c r="J154" t="s">
        <v>401</v>
      </c>
      <c r="K154" t="s">
        <v>404</v>
      </c>
      <c r="L154">
        <f t="shared" si="8"/>
        <v>971</v>
      </c>
      <c r="M154">
        <f t="shared" ca="1" si="9"/>
        <v>612</v>
      </c>
      <c r="N154">
        <f t="shared" ca="1" si="10"/>
        <v>292</v>
      </c>
      <c r="O154" s="2">
        <f t="shared" ca="1" si="11"/>
        <v>0.63027806385169927</v>
      </c>
    </row>
    <row r="155" spans="1:15" x14ac:dyDescent="0.3">
      <c r="A155" s="3" t="s">
        <v>168</v>
      </c>
      <c r="B155" t="s">
        <v>352</v>
      </c>
      <c r="C155">
        <v>52</v>
      </c>
      <c r="D155" t="s">
        <v>394</v>
      </c>
      <c r="E155">
        <v>1014170</v>
      </c>
      <c r="F155">
        <v>1797404</v>
      </c>
      <c r="G155">
        <v>12</v>
      </c>
      <c r="H155">
        <v>517</v>
      </c>
      <c r="I155" t="s">
        <v>396</v>
      </c>
      <c r="J155" t="s">
        <v>401</v>
      </c>
      <c r="K155" t="s">
        <v>404</v>
      </c>
      <c r="L155">
        <f t="shared" si="8"/>
        <v>971</v>
      </c>
      <c r="M155">
        <f t="shared" ca="1" si="9"/>
        <v>612</v>
      </c>
      <c r="N155">
        <f t="shared" ca="1" si="10"/>
        <v>292</v>
      </c>
      <c r="O155" s="2">
        <f t="shared" ca="1" si="11"/>
        <v>0.63027806385169927</v>
      </c>
    </row>
    <row r="156" spans="1:15" x14ac:dyDescent="0.3">
      <c r="A156" s="3" t="s">
        <v>169</v>
      </c>
      <c r="B156" t="s">
        <v>278</v>
      </c>
      <c r="C156">
        <v>53</v>
      </c>
      <c r="D156" t="s">
        <v>394</v>
      </c>
      <c r="E156">
        <v>1157519</v>
      </c>
      <c r="F156">
        <v>482656</v>
      </c>
      <c r="G156">
        <v>60</v>
      </c>
      <c r="H156">
        <v>835</v>
      </c>
      <c r="I156" t="s">
        <v>397</v>
      </c>
      <c r="J156" t="s">
        <v>403</v>
      </c>
      <c r="K156" t="s">
        <v>404</v>
      </c>
      <c r="L156">
        <f t="shared" si="8"/>
        <v>971</v>
      </c>
      <c r="M156">
        <f t="shared" ca="1" si="9"/>
        <v>612</v>
      </c>
      <c r="N156">
        <f t="shared" ca="1" si="10"/>
        <v>292</v>
      </c>
      <c r="O156" s="2">
        <f t="shared" ca="1" si="11"/>
        <v>0.63027806385169927</v>
      </c>
    </row>
    <row r="157" spans="1:15" x14ac:dyDescent="0.3">
      <c r="A157" s="3" t="s">
        <v>170</v>
      </c>
      <c r="B157" t="s">
        <v>353</v>
      </c>
      <c r="C157">
        <v>57</v>
      </c>
      <c r="D157" t="s">
        <v>395</v>
      </c>
      <c r="E157">
        <v>492542</v>
      </c>
      <c r="F157">
        <v>1441648</v>
      </c>
      <c r="G157">
        <v>60</v>
      </c>
      <c r="H157">
        <v>603</v>
      </c>
      <c r="I157" t="s">
        <v>397</v>
      </c>
      <c r="J157" t="s">
        <v>403</v>
      </c>
      <c r="K157" t="s">
        <v>404</v>
      </c>
      <c r="L157">
        <f t="shared" si="8"/>
        <v>971</v>
      </c>
      <c r="M157">
        <f t="shared" ca="1" si="9"/>
        <v>612</v>
      </c>
      <c r="N157">
        <f t="shared" ca="1" si="10"/>
        <v>292</v>
      </c>
      <c r="O157" s="2">
        <f t="shared" ca="1" si="11"/>
        <v>0.63027806385169927</v>
      </c>
    </row>
    <row r="158" spans="1:15" x14ac:dyDescent="0.3">
      <c r="A158" s="3" t="s">
        <v>171</v>
      </c>
      <c r="B158" t="s">
        <v>280</v>
      </c>
      <c r="C158">
        <v>54</v>
      </c>
      <c r="D158" t="s">
        <v>394</v>
      </c>
      <c r="E158">
        <v>1068927</v>
      </c>
      <c r="F158">
        <v>1268260</v>
      </c>
      <c r="G158">
        <v>36</v>
      </c>
      <c r="H158">
        <v>586</v>
      </c>
      <c r="I158" t="s">
        <v>398</v>
      </c>
      <c r="J158" t="s">
        <v>403</v>
      </c>
      <c r="K158" t="s">
        <v>404</v>
      </c>
      <c r="L158">
        <f t="shared" si="8"/>
        <v>971</v>
      </c>
      <c r="M158">
        <f t="shared" ca="1" si="9"/>
        <v>612</v>
      </c>
      <c r="N158">
        <f t="shared" ca="1" si="10"/>
        <v>292</v>
      </c>
      <c r="O158" s="2">
        <f t="shared" ca="1" si="11"/>
        <v>0.63027806385169927</v>
      </c>
    </row>
    <row r="159" spans="1:15" x14ac:dyDescent="0.3">
      <c r="A159" s="3" t="s">
        <v>172</v>
      </c>
      <c r="B159" t="s">
        <v>354</v>
      </c>
      <c r="C159">
        <v>39</v>
      </c>
      <c r="D159" t="s">
        <v>394</v>
      </c>
      <c r="E159">
        <v>1208447</v>
      </c>
      <c r="F159">
        <v>1282218</v>
      </c>
      <c r="G159">
        <v>180</v>
      </c>
      <c r="H159">
        <v>601</v>
      </c>
      <c r="I159" t="s">
        <v>397</v>
      </c>
      <c r="J159" t="s">
        <v>399</v>
      </c>
      <c r="K159" t="s">
        <v>404</v>
      </c>
      <c r="L159">
        <f t="shared" si="8"/>
        <v>971</v>
      </c>
      <c r="M159">
        <f t="shared" ca="1" si="9"/>
        <v>612</v>
      </c>
      <c r="N159">
        <f t="shared" ca="1" si="10"/>
        <v>292</v>
      </c>
      <c r="O159" s="2">
        <f t="shared" ca="1" si="11"/>
        <v>0.63027806385169927</v>
      </c>
    </row>
    <row r="160" spans="1:15" x14ac:dyDescent="0.3">
      <c r="A160" s="3" t="s">
        <v>173</v>
      </c>
      <c r="B160" t="s">
        <v>355</v>
      </c>
      <c r="C160">
        <v>33</v>
      </c>
      <c r="D160" t="s">
        <v>394</v>
      </c>
      <c r="E160">
        <v>203735</v>
      </c>
      <c r="F160">
        <v>144893</v>
      </c>
      <c r="G160">
        <v>60</v>
      </c>
      <c r="H160">
        <v>462</v>
      </c>
      <c r="I160" t="s">
        <v>397</v>
      </c>
      <c r="J160" t="s">
        <v>401</v>
      </c>
      <c r="K160" t="s">
        <v>406</v>
      </c>
      <c r="L160">
        <f t="shared" si="8"/>
        <v>971</v>
      </c>
      <c r="M160">
        <f t="shared" ca="1" si="9"/>
        <v>612</v>
      </c>
      <c r="N160">
        <f t="shared" ca="1" si="10"/>
        <v>292</v>
      </c>
      <c r="O160" s="2">
        <f t="shared" ca="1" si="11"/>
        <v>0.63027806385169927</v>
      </c>
    </row>
    <row r="161" spans="1:15" x14ac:dyDescent="0.3">
      <c r="A161" s="3" t="s">
        <v>174</v>
      </c>
      <c r="B161" t="s">
        <v>356</v>
      </c>
      <c r="C161">
        <v>47</v>
      </c>
      <c r="D161" t="s">
        <v>394</v>
      </c>
      <c r="E161">
        <v>375457</v>
      </c>
      <c r="F161">
        <v>125210</v>
      </c>
      <c r="G161">
        <v>60</v>
      </c>
      <c r="H161">
        <v>361</v>
      </c>
      <c r="I161" t="s">
        <v>398</v>
      </c>
      <c r="J161" t="s">
        <v>402</v>
      </c>
      <c r="K161" t="s">
        <v>404</v>
      </c>
      <c r="L161">
        <f t="shared" si="8"/>
        <v>971</v>
      </c>
      <c r="M161">
        <f t="shared" ca="1" si="9"/>
        <v>612</v>
      </c>
      <c r="N161">
        <f t="shared" ca="1" si="10"/>
        <v>292</v>
      </c>
      <c r="O161" s="2">
        <f t="shared" ca="1" si="11"/>
        <v>0.63027806385169927</v>
      </c>
    </row>
    <row r="162" spans="1:15" x14ac:dyDescent="0.3">
      <c r="A162" s="3" t="s">
        <v>175</v>
      </c>
      <c r="B162" t="s">
        <v>357</v>
      </c>
      <c r="C162">
        <v>39</v>
      </c>
      <c r="D162" t="s">
        <v>395</v>
      </c>
      <c r="E162">
        <v>1041900</v>
      </c>
      <c r="F162">
        <v>1347777</v>
      </c>
      <c r="G162">
        <v>180</v>
      </c>
      <c r="H162">
        <v>311</v>
      </c>
      <c r="I162" t="s">
        <v>397</v>
      </c>
      <c r="J162" t="s">
        <v>399</v>
      </c>
      <c r="K162" t="s">
        <v>406</v>
      </c>
      <c r="L162">
        <f t="shared" si="8"/>
        <v>971</v>
      </c>
      <c r="M162">
        <f t="shared" ca="1" si="9"/>
        <v>612</v>
      </c>
      <c r="N162">
        <f t="shared" ca="1" si="10"/>
        <v>292</v>
      </c>
      <c r="O162" s="2">
        <f t="shared" ca="1" si="11"/>
        <v>0.63027806385169927</v>
      </c>
    </row>
    <row r="163" spans="1:15" x14ac:dyDescent="0.3">
      <c r="A163" s="3" t="s">
        <v>176</v>
      </c>
      <c r="B163" t="s">
        <v>358</v>
      </c>
      <c r="C163">
        <v>45</v>
      </c>
      <c r="D163" t="s">
        <v>394</v>
      </c>
      <c r="E163">
        <v>1101858</v>
      </c>
      <c r="F163">
        <v>271089</v>
      </c>
      <c r="G163">
        <v>36</v>
      </c>
      <c r="H163">
        <v>318</v>
      </c>
      <c r="I163" t="s">
        <v>398</v>
      </c>
      <c r="J163" t="s">
        <v>401</v>
      </c>
      <c r="K163" t="s">
        <v>404</v>
      </c>
      <c r="L163">
        <f t="shared" si="8"/>
        <v>971</v>
      </c>
      <c r="M163">
        <f t="shared" ca="1" si="9"/>
        <v>612</v>
      </c>
      <c r="N163">
        <f t="shared" ca="1" si="10"/>
        <v>292</v>
      </c>
      <c r="O163" s="2">
        <f t="shared" ca="1" si="11"/>
        <v>0.63027806385169927</v>
      </c>
    </row>
    <row r="164" spans="1:15" x14ac:dyDescent="0.3">
      <c r="A164" s="3" t="s">
        <v>177</v>
      </c>
      <c r="B164" t="s">
        <v>359</v>
      </c>
      <c r="C164">
        <v>54</v>
      </c>
      <c r="D164" t="s">
        <v>394</v>
      </c>
      <c r="E164">
        <v>1188704</v>
      </c>
      <c r="F164">
        <v>670746</v>
      </c>
      <c r="G164">
        <v>12</v>
      </c>
      <c r="H164">
        <v>778</v>
      </c>
      <c r="I164" t="s">
        <v>396</v>
      </c>
      <c r="J164" t="s">
        <v>401</v>
      </c>
      <c r="K164" t="s">
        <v>404</v>
      </c>
      <c r="L164">
        <f t="shared" si="8"/>
        <v>971</v>
      </c>
      <c r="M164">
        <f t="shared" ca="1" si="9"/>
        <v>612</v>
      </c>
      <c r="N164">
        <f t="shared" ca="1" si="10"/>
        <v>292</v>
      </c>
      <c r="O164" s="2">
        <f t="shared" ca="1" si="11"/>
        <v>0.63027806385169927</v>
      </c>
    </row>
    <row r="165" spans="1:15" x14ac:dyDescent="0.3">
      <c r="A165" s="3" t="s">
        <v>178</v>
      </c>
      <c r="B165" t="s">
        <v>360</v>
      </c>
      <c r="C165">
        <v>45</v>
      </c>
      <c r="D165" t="s">
        <v>395</v>
      </c>
      <c r="E165">
        <v>1490768</v>
      </c>
      <c r="F165">
        <v>1930680</v>
      </c>
      <c r="G165">
        <v>36</v>
      </c>
      <c r="H165">
        <v>534</v>
      </c>
      <c r="I165" t="s">
        <v>397</v>
      </c>
      <c r="J165" t="s">
        <v>403</v>
      </c>
      <c r="K165" t="s">
        <v>406</v>
      </c>
      <c r="L165">
        <f t="shared" si="8"/>
        <v>971</v>
      </c>
      <c r="M165">
        <f t="shared" ca="1" si="9"/>
        <v>612</v>
      </c>
      <c r="N165">
        <f t="shared" ca="1" si="10"/>
        <v>292</v>
      </c>
      <c r="O165" s="2">
        <f t="shared" ca="1" si="11"/>
        <v>0.63027806385169927</v>
      </c>
    </row>
    <row r="166" spans="1:15" x14ac:dyDescent="0.3">
      <c r="A166" s="3" t="s">
        <v>179</v>
      </c>
      <c r="B166" t="s">
        <v>272</v>
      </c>
      <c r="C166">
        <v>25</v>
      </c>
      <c r="D166" t="s">
        <v>395</v>
      </c>
      <c r="E166">
        <v>479988</v>
      </c>
      <c r="F166">
        <v>173005</v>
      </c>
      <c r="G166">
        <v>120</v>
      </c>
      <c r="H166">
        <v>707</v>
      </c>
      <c r="I166" t="s">
        <v>398</v>
      </c>
      <c r="J166" t="s">
        <v>403</v>
      </c>
      <c r="K166" t="s">
        <v>405</v>
      </c>
      <c r="L166">
        <f t="shared" si="8"/>
        <v>971</v>
      </c>
      <c r="M166">
        <f t="shared" ca="1" si="9"/>
        <v>612</v>
      </c>
      <c r="N166">
        <f t="shared" ca="1" si="10"/>
        <v>292</v>
      </c>
      <c r="O166" s="2">
        <f t="shared" ca="1" si="11"/>
        <v>0.63027806385169927</v>
      </c>
    </row>
    <row r="167" spans="1:15" x14ac:dyDescent="0.3">
      <c r="A167" s="3" t="s">
        <v>180</v>
      </c>
      <c r="B167" t="s">
        <v>361</v>
      </c>
      <c r="C167">
        <v>47</v>
      </c>
      <c r="D167" t="s">
        <v>395</v>
      </c>
      <c r="E167">
        <v>921032</v>
      </c>
      <c r="F167">
        <v>1281258</v>
      </c>
      <c r="G167">
        <v>12</v>
      </c>
      <c r="H167">
        <v>446</v>
      </c>
      <c r="I167" t="s">
        <v>397</v>
      </c>
      <c r="J167" t="s">
        <v>402</v>
      </c>
      <c r="K167" t="s">
        <v>404</v>
      </c>
      <c r="L167">
        <f t="shared" si="8"/>
        <v>971</v>
      </c>
      <c r="M167">
        <f t="shared" ca="1" si="9"/>
        <v>612</v>
      </c>
      <c r="N167">
        <f t="shared" ca="1" si="10"/>
        <v>292</v>
      </c>
      <c r="O167" s="2">
        <f t="shared" ca="1" si="11"/>
        <v>0.63027806385169927</v>
      </c>
    </row>
    <row r="168" spans="1:15" x14ac:dyDescent="0.3">
      <c r="A168" s="3" t="s">
        <v>181</v>
      </c>
      <c r="B168" t="s">
        <v>362</v>
      </c>
      <c r="C168">
        <v>56</v>
      </c>
      <c r="D168" t="s">
        <v>394</v>
      </c>
      <c r="E168">
        <v>994028</v>
      </c>
      <c r="F168">
        <v>657556</v>
      </c>
      <c r="G168">
        <v>24</v>
      </c>
      <c r="H168">
        <v>670</v>
      </c>
      <c r="I168" t="s">
        <v>396</v>
      </c>
      <c r="J168" t="s">
        <v>401</v>
      </c>
      <c r="K168" t="s">
        <v>405</v>
      </c>
      <c r="L168">
        <f t="shared" si="8"/>
        <v>971</v>
      </c>
      <c r="M168">
        <f t="shared" ca="1" si="9"/>
        <v>612</v>
      </c>
      <c r="N168">
        <f t="shared" ca="1" si="10"/>
        <v>292</v>
      </c>
      <c r="O168" s="2">
        <f t="shared" ca="1" si="11"/>
        <v>0.63027806385169927</v>
      </c>
    </row>
    <row r="169" spans="1:15" x14ac:dyDescent="0.3">
      <c r="A169" s="3" t="s">
        <v>182</v>
      </c>
      <c r="B169" t="s">
        <v>273</v>
      </c>
      <c r="C169">
        <v>23</v>
      </c>
      <c r="D169" t="s">
        <v>395</v>
      </c>
      <c r="E169">
        <v>1044472</v>
      </c>
      <c r="F169">
        <v>1052355</v>
      </c>
      <c r="G169">
        <v>120</v>
      </c>
      <c r="H169">
        <v>395</v>
      </c>
      <c r="I169" t="s">
        <v>398</v>
      </c>
      <c r="J169" t="s">
        <v>403</v>
      </c>
      <c r="K169" t="s">
        <v>404</v>
      </c>
      <c r="L169">
        <f t="shared" si="8"/>
        <v>971</v>
      </c>
      <c r="M169">
        <f t="shared" ca="1" si="9"/>
        <v>612</v>
      </c>
      <c r="N169">
        <f t="shared" ca="1" si="10"/>
        <v>292</v>
      </c>
      <c r="O169" s="2">
        <f t="shared" ca="1" si="11"/>
        <v>0.63027806385169927</v>
      </c>
    </row>
    <row r="170" spans="1:15" x14ac:dyDescent="0.3">
      <c r="A170" s="3" t="s">
        <v>183</v>
      </c>
      <c r="B170" t="s">
        <v>363</v>
      </c>
      <c r="C170">
        <v>51</v>
      </c>
      <c r="D170" t="s">
        <v>394</v>
      </c>
      <c r="E170">
        <v>1359557</v>
      </c>
      <c r="F170">
        <v>1665455</v>
      </c>
      <c r="G170">
        <v>60</v>
      </c>
      <c r="H170">
        <v>497</v>
      </c>
      <c r="I170" t="s">
        <v>397</v>
      </c>
      <c r="J170" t="s">
        <v>402</v>
      </c>
      <c r="K170" t="s">
        <v>404</v>
      </c>
      <c r="L170">
        <f t="shared" si="8"/>
        <v>971</v>
      </c>
      <c r="M170">
        <f t="shared" ca="1" si="9"/>
        <v>612</v>
      </c>
      <c r="N170">
        <f t="shared" ca="1" si="10"/>
        <v>292</v>
      </c>
      <c r="O170" s="2">
        <f t="shared" ca="1" si="11"/>
        <v>0.63027806385169927</v>
      </c>
    </row>
    <row r="171" spans="1:15" x14ac:dyDescent="0.3">
      <c r="A171" s="3" t="s">
        <v>184</v>
      </c>
      <c r="B171" t="s">
        <v>364</v>
      </c>
      <c r="C171">
        <v>42</v>
      </c>
      <c r="D171" t="s">
        <v>394</v>
      </c>
      <c r="E171">
        <v>1112462</v>
      </c>
      <c r="F171">
        <v>1781810</v>
      </c>
      <c r="G171">
        <v>60</v>
      </c>
      <c r="H171">
        <v>370</v>
      </c>
      <c r="I171" t="s">
        <v>397</v>
      </c>
      <c r="J171" t="s">
        <v>401</v>
      </c>
      <c r="K171" t="s">
        <v>405</v>
      </c>
      <c r="L171">
        <f t="shared" si="8"/>
        <v>971</v>
      </c>
      <c r="M171">
        <f t="shared" ca="1" si="9"/>
        <v>612</v>
      </c>
      <c r="N171">
        <f t="shared" ca="1" si="10"/>
        <v>292</v>
      </c>
      <c r="O171" s="2">
        <f t="shared" ca="1" si="11"/>
        <v>0.63027806385169927</v>
      </c>
    </row>
    <row r="172" spans="1:15" x14ac:dyDescent="0.3">
      <c r="A172" s="3" t="s">
        <v>185</v>
      </c>
      <c r="B172" t="s">
        <v>365</v>
      </c>
      <c r="C172">
        <v>21</v>
      </c>
      <c r="D172" t="s">
        <v>394</v>
      </c>
      <c r="E172">
        <v>639751</v>
      </c>
      <c r="F172">
        <v>814606</v>
      </c>
      <c r="G172">
        <v>12</v>
      </c>
      <c r="H172">
        <v>658</v>
      </c>
      <c r="I172" t="s">
        <v>396</v>
      </c>
      <c r="J172" t="s">
        <v>399</v>
      </c>
      <c r="K172" t="s">
        <v>405</v>
      </c>
      <c r="L172">
        <f t="shared" si="8"/>
        <v>971</v>
      </c>
      <c r="M172">
        <f t="shared" ca="1" si="9"/>
        <v>612</v>
      </c>
      <c r="N172">
        <f t="shared" ca="1" si="10"/>
        <v>292</v>
      </c>
      <c r="O172" s="2">
        <f t="shared" ca="1" si="11"/>
        <v>0.63027806385169927</v>
      </c>
    </row>
    <row r="173" spans="1:15" x14ac:dyDescent="0.3">
      <c r="A173" s="3" t="s">
        <v>186</v>
      </c>
      <c r="B173" t="s">
        <v>366</v>
      </c>
      <c r="C173">
        <v>24</v>
      </c>
      <c r="D173" t="s">
        <v>395</v>
      </c>
      <c r="E173">
        <v>1100115</v>
      </c>
      <c r="F173">
        <v>1083336</v>
      </c>
      <c r="G173">
        <v>180</v>
      </c>
      <c r="H173">
        <v>631</v>
      </c>
      <c r="I173" t="s">
        <v>397</v>
      </c>
      <c r="J173" t="s">
        <v>403</v>
      </c>
      <c r="K173" t="s">
        <v>405</v>
      </c>
      <c r="L173">
        <f t="shared" si="8"/>
        <v>971</v>
      </c>
      <c r="M173">
        <f t="shared" ca="1" si="9"/>
        <v>612</v>
      </c>
      <c r="N173">
        <f t="shared" ca="1" si="10"/>
        <v>292</v>
      </c>
      <c r="O173" s="2">
        <f t="shared" ca="1" si="11"/>
        <v>0.63027806385169927</v>
      </c>
    </row>
    <row r="174" spans="1:15" x14ac:dyDescent="0.3">
      <c r="A174" s="3" t="s">
        <v>187</v>
      </c>
      <c r="B174" t="s">
        <v>367</v>
      </c>
      <c r="C174">
        <v>38</v>
      </c>
      <c r="D174" t="s">
        <v>394</v>
      </c>
      <c r="E174">
        <v>981146</v>
      </c>
      <c r="F174">
        <v>472248</v>
      </c>
      <c r="G174">
        <v>12</v>
      </c>
      <c r="H174">
        <v>550</v>
      </c>
      <c r="I174" t="s">
        <v>397</v>
      </c>
      <c r="J174" t="s">
        <v>403</v>
      </c>
      <c r="K174" t="s">
        <v>406</v>
      </c>
      <c r="L174">
        <f t="shared" si="8"/>
        <v>971</v>
      </c>
      <c r="M174">
        <f t="shared" ca="1" si="9"/>
        <v>612</v>
      </c>
      <c r="N174">
        <f t="shared" ca="1" si="10"/>
        <v>292</v>
      </c>
      <c r="O174" s="2">
        <f t="shared" ca="1" si="11"/>
        <v>0.63027806385169927</v>
      </c>
    </row>
    <row r="175" spans="1:15" x14ac:dyDescent="0.3">
      <c r="A175" s="3" t="s">
        <v>188</v>
      </c>
      <c r="B175" t="s">
        <v>368</v>
      </c>
      <c r="C175">
        <v>55</v>
      </c>
      <c r="D175" t="s">
        <v>394</v>
      </c>
      <c r="E175">
        <v>789626</v>
      </c>
      <c r="F175">
        <v>706147</v>
      </c>
      <c r="G175">
        <v>60</v>
      </c>
      <c r="H175">
        <v>479</v>
      </c>
      <c r="I175" t="s">
        <v>398</v>
      </c>
      <c r="J175" t="s">
        <v>399</v>
      </c>
      <c r="K175" t="s">
        <v>404</v>
      </c>
      <c r="L175">
        <f t="shared" si="8"/>
        <v>971</v>
      </c>
      <c r="M175">
        <f t="shared" ca="1" si="9"/>
        <v>612</v>
      </c>
      <c r="N175">
        <f t="shared" ca="1" si="10"/>
        <v>292</v>
      </c>
      <c r="O175" s="2">
        <f t="shared" ca="1" si="11"/>
        <v>0.63027806385169927</v>
      </c>
    </row>
    <row r="176" spans="1:15" x14ac:dyDescent="0.3">
      <c r="A176" s="3" t="s">
        <v>189</v>
      </c>
      <c r="B176" t="s">
        <v>366</v>
      </c>
      <c r="C176">
        <v>26</v>
      </c>
      <c r="D176" t="s">
        <v>395</v>
      </c>
      <c r="E176">
        <v>334159</v>
      </c>
      <c r="F176">
        <v>834341</v>
      </c>
      <c r="G176">
        <v>180</v>
      </c>
      <c r="H176">
        <v>497</v>
      </c>
      <c r="I176" t="s">
        <v>396</v>
      </c>
      <c r="J176" t="s">
        <v>401</v>
      </c>
      <c r="K176" t="s">
        <v>405</v>
      </c>
      <c r="L176">
        <f t="shared" si="8"/>
        <v>971</v>
      </c>
      <c r="M176">
        <f t="shared" ca="1" si="9"/>
        <v>612</v>
      </c>
      <c r="N176">
        <f t="shared" ca="1" si="10"/>
        <v>292</v>
      </c>
      <c r="O176" s="2">
        <f t="shared" ca="1" si="11"/>
        <v>0.63027806385169927</v>
      </c>
    </row>
    <row r="177" spans="1:15" x14ac:dyDescent="0.3">
      <c r="A177" s="3" t="s">
        <v>190</v>
      </c>
      <c r="B177" t="s">
        <v>369</v>
      </c>
      <c r="C177">
        <v>30</v>
      </c>
      <c r="D177" t="s">
        <v>394</v>
      </c>
      <c r="E177">
        <v>978627</v>
      </c>
      <c r="F177">
        <v>196398</v>
      </c>
      <c r="G177">
        <v>24</v>
      </c>
      <c r="H177">
        <v>799</v>
      </c>
      <c r="I177" t="s">
        <v>396</v>
      </c>
      <c r="J177" t="s">
        <v>399</v>
      </c>
      <c r="K177" t="s">
        <v>404</v>
      </c>
      <c r="L177">
        <f t="shared" si="8"/>
        <v>971</v>
      </c>
      <c r="M177">
        <f t="shared" ca="1" si="9"/>
        <v>612</v>
      </c>
      <c r="N177">
        <f t="shared" ca="1" si="10"/>
        <v>292</v>
      </c>
      <c r="O177" s="2">
        <f t="shared" ca="1" si="11"/>
        <v>0.63027806385169927</v>
      </c>
    </row>
    <row r="178" spans="1:15" x14ac:dyDescent="0.3">
      <c r="A178" s="3" t="s">
        <v>191</v>
      </c>
      <c r="B178" t="s">
        <v>370</v>
      </c>
      <c r="C178">
        <v>53</v>
      </c>
      <c r="D178" t="s">
        <v>394</v>
      </c>
      <c r="E178">
        <v>1406526</v>
      </c>
      <c r="F178">
        <v>1696958</v>
      </c>
      <c r="G178">
        <v>120</v>
      </c>
      <c r="H178">
        <v>636</v>
      </c>
      <c r="I178" t="s">
        <v>396</v>
      </c>
      <c r="J178" t="s">
        <v>399</v>
      </c>
      <c r="K178" t="s">
        <v>406</v>
      </c>
      <c r="L178">
        <f t="shared" si="8"/>
        <v>971</v>
      </c>
      <c r="M178">
        <f t="shared" ca="1" si="9"/>
        <v>612</v>
      </c>
      <c r="N178">
        <f t="shared" ca="1" si="10"/>
        <v>292</v>
      </c>
      <c r="O178" s="2">
        <f t="shared" ca="1" si="11"/>
        <v>0.63027806385169927</v>
      </c>
    </row>
    <row r="179" spans="1:15" x14ac:dyDescent="0.3">
      <c r="A179" s="3" t="s">
        <v>192</v>
      </c>
      <c r="B179" t="s">
        <v>371</v>
      </c>
      <c r="C179">
        <v>59</v>
      </c>
      <c r="D179" t="s">
        <v>394</v>
      </c>
      <c r="E179">
        <v>416604</v>
      </c>
      <c r="F179">
        <v>1278089</v>
      </c>
      <c r="G179">
        <v>24</v>
      </c>
      <c r="H179">
        <v>834</v>
      </c>
      <c r="I179" t="s">
        <v>397</v>
      </c>
      <c r="J179" t="s">
        <v>403</v>
      </c>
      <c r="K179" t="s">
        <v>404</v>
      </c>
      <c r="L179">
        <f t="shared" si="8"/>
        <v>971</v>
      </c>
      <c r="M179">
        <f t="shared" ca="1" si="9"/>
        <v>612</v>
      </c>
      <c r="N179">
        <f t="shared" ca="1" si="10"/>
        <v>292</v>
      </c>
      <c r="O179" s="2">
        <f t="shared" ca="1" si="11"/>
        <v>0.63027806385169927</v>
      </c>
    </row>
    <row r="180" spans="1:15" x14ac:dyDescent="0.3">
      <c r="A180" s="3" t="s">
        <v>193</v>
      </c>
      <c r="B180" t="s">
        <v>372</v>
      </c>
      <c r="C180">
        <v>32</v>
      </c>
      <c r="D180" t="s">
        <v>395</v>
      </c>
      <c r="E180">
        <v>646339</v>
      </c>
      <c r="F180">
        <v>1379859</v>
      </c>
      <c r="G180">
        <v>36</v>
      </c>
      <c r="H180">
        <v>659</v>
      </c>
      <c r="I180" t="s">
        <v>396</v>
      </c>
      <c r="J180" t="s">
        <v>400</v>
      </c>
      <c r="K180" t="s">
        <v>405</v>
      </c>
      <c r="L180">
        <f t="shared" si="8"/>
        <v>971</v>
      </c>
      <c r="M180">
        <f t="shared" ca="1" si="9"/>
        <v>612</v>
      </c>
      <c r="N180">
        <f t="shared" ca="1" si="10"/>
        <v>292</v>
      </c>
      <c r="O180" s="2">
        <f t="shared" ca="1" si="11"/>
        <v>0.63027806385169927</v>
      </c>
    </row>
    <row r="181" spans="1:15" x14ac:dyDescent="0.3">
      <c r="A181" s="3" t="s">
        <v>194</v>
      </c>
      <c r="B181" t="s">
        <v>373</v>
      </c>
      <c r="C181">
        <v>36</v>
      </c>
      <c r="D181" t="s">
        <v>394</v>
      </c>
      <c r="E181">
        <v>841956</v>
      </c>
      <c r="F181">
        <v>1488420</v>
      </c>
      <c r="G181">
        <v>120</v>
      </c>
      <c r="H181">
        <v>826</v>
      </c>
      <c r="I181" t="s">
        <v>398</v>
      </c>
      <c r="J181" t="s">
        <v>401</v>
      </c>
      <c r="K181" t="s">
        <v>406</v>
      </c>
      <c r="L181">
        <f t="shared" si="8"/>
        <v>971</v>
      </c>
      <c r="M181">
        <f t="shared" ca="1" si="9"/>
        <v>612</v>
      </c>
      <c r="N181">
        <f t="shared" ca="1" si="10"/>
        <v>292</v>
      </c>
      <c r="O181" s="2">
        <f t="shared" ca="1" si="11"/>
        <v>0.63027806385169927</v>
      </c>
    </row>
    <row r="182" spans="1:15" x14ac:dyDescent="0.3">
      <c r="A182" s="3" t="s">
        <v>195</v>
      </c>
      <c r="B182" t="s">
        <v>374</v>
      </c>
      <c r="C182">
        <v>24</v>
      </c>
      <c r="D182" t="s">
        <v>394</v>
      </c>
      <c r="E182">
        <v>1017418</v>
      </c>
      <c r="F182">
        <v>325053</v>
      </c>
      <c r="G182">
        <v>180</v>
      </c>
      <c r="H182">
        <v>774</v>
      </c>
      <c r="I182" t="s">
        <v>398</v>
      </c>
      <c r="J182" t="s">
        <v>402</v>
      </c>
      <c r="K182" t="s">
        <v>406</v>
      </c>
      <c r="L182">
        <f t="shared" si="8"/>
        <v>971</v>
      </c>
      <c r="M182">
        <f t="shared" ca="1" si="9"/>
        <v>612</v>
      </c>
      <c r="N182">
        <f t="shared" ca="1" si="10"/>
        <v>292</v>
      </c>
      <c r="O182" s="2">
        <f t="shared" ca="1" si="11"/>
        <v>0.63027806385169927</v>
      </c>
    </row>
    <row r="183" spans="1:15" x14ac:dyDescent="0.3">
      <c r="A183" s="3" t="s">
        <v>196</v>
      </c>
      <c r="B183" t="s">
        <v>375</v>
      </c>
      <c r="C183">
        <v>51</v>
      </c>
      <c r="D183" t="s">
        <v>395</v>
      </c>
      <c r="E183">
        <v>1152995</v>
      </c>
      <c r="F183">
        <v>1554612</v>
      </c>
      <c r="G183">
        <v>60</v>
      </c>
      <c r="H183">
        <v>452</v>
      </c>
      <c r="I183" t="s">
        <v>396</v>
      </c>
      <c r="J183" t="s">
        <v>400</v>
      </c>
      <c r="K183" t="s">
        <v>406</v>
      </c>
      <c r="L183">
        <f t="shared" si="8"/>
        <v>971</v>
      </c>
      <c r="M183">
        <f t="shared" ca="1" si="9"/>
        <v>612</v>
      </c>
      <c r="N183">
        <f t="shared" ca="1" si="10"/>
        <v>292</v>
      </c>
      <c r="O183" s="2">
        <f t="shared" ca="1" si="11"/>
        <v>0.63027806385169927</v>
      </c>
    </row>
    <row r="184" spans="1:15" x14ac:dyDescent="0.3">
      <c r="A184" s="3" t="s">
        <v>197</v>
      </c>
      <c r="B184" t="s">
        <v>376</v>
      </c>
      <c r="C184">
        <v>56</v>
      </c>
      <c r="D184" t="s">
        <v>395</v>
      </c>
      <c r="E184">
        <v>1210382</v>
      </c>
      <c r="F184">
        <v>282503</v>
      </c>
      <c r="G184">
        <v>12</v>
      </c>
      <c r="H184">
        <v>389</v>
      </c>
      <c r="I184" t="s">
        <v>397</v>
      </c>
      <c r="J184" t="s">
        <v>403</v>
      </c>
      <c r="K184" t="s">
        <v>404</v>
      </c>
      <c r="L184">
        <f t="shared" si="8"/>
        <v>971</v>
      </c>
      <c r="M184">
        <f t="shared" ca="1" si="9"/>
        <v>612</v>
      </c>
      <c r="N184">
        <f t="shared" ca="1" si="10"/>
        <v>292</v>
      </c>
      <c r="O184" s="2">
        <f t="shared" ca="1" si="11"/>
        <v>0.63027806385169927</v>
      </c>
    </row>
    <row r="185" spans="1:15" x14ac:dyDescent="0.3">
      <c r="A185" s="3" t="s">
        <v>198</v>
      </c>
      <c r="B185" t="s">
        <v>377</v>
      </c>
      <c r="C185">
        <v>47</v>
      </c>
      <c r="D185" t="s">
        <v>394</v>
      </c>
      <c r="E185">
        <v>1155956</v>
      </c>
      <c r="F185">
        <v>1926262</v>
      </c>
      <c r="G185">
        <v>120</v>
      </c>
      <c r="H185">
        <v>356</v>
      </c>
      <c r="I185" t="s">
        <v>397</v>
      </c>
      <c r="J185" t="s">
        <v>402</v>
      </c>
      <c r="K185" t="s">
        <v>406</v>
      </c>
      <c r="L185">
        <f t="shared" si="8"/>
        <v>971</v>
      </c>
      <c r="M185">
        <f t="shared" ca="1" si="9"/>
        <v>612</v>
      </c>
      <c r="N185">
        <f t="shared" ca="1" si="10"/>
        <v>292</v>
      </c>
      <c r="O185" s="2">
        <f t="shared" ca="1" si="11"/>
        <v>0.63027806385169927</v>
      </c>
    </row>
    <row r="186" spans="1:15" x14ac:dyDescent="0.3">
      <c r="A186" s="3" t="s">
        <v>199</v>
      </c>
      <c r="B186" t="s">
        <v>378</v>
      </c>
      <c r="C186">
        <v>59</v>
      </c>
      <c r="D186" t="s">
        <v>394</v>
      </c>
      <c r="E186">
        <v>1011652</v>
      </c>
      <c r="F186">
        <v>675716</v>
      </c>
      <c r="G186">
        <v>24</v>
      </c>
      <c r="H186">
        <v>388</v>
      </c>
      <c r="I186" t="s">
        <v>396</v>
      </c>
      <c r="J186" t="s">
        <v>399</v>
      </c>
      <c r="K186" t="s">
        <v>406</v>
      </c>
      <c r="L186">
        <f t="shared" si="8"/>
        <v>971</v>
      </c>
      <c r="M186">
        <f t="shared" ca="1" si="9"/>
        <v>612</v>
      </c>
      <c r="N186">
        <f t="shared" ca="1" si="10"/>
        <v>292</v>
      </c>
      <c r="O186" s="2">
        <f t="shared" ca="1" si="11"/>
        <v>0.63027806385169927</v>
      </c>
    </row>
    <row r="187" spans="1:15" x14ac:dyDescent="0.3">
      <c r="A187" s="3" t="s">
        <v>200</v>
      </c>
      <c r="B187" t="s">
        <v>379</v>
      </c>
      <c r="C187">
        <v>22</v>
      </c>
      <c r="D187" t="s">
        <v>394</v>
      </c>
      <c r="E187">
        <v>780907</v>
      </c>
      <c r="F187">
        <v>982410</v>
      </c>
      <c r="G187">
        <v>24</v>
      </c>
      <c r="H187">
        <v>406</v>
      </c>
      <c r="I187" t="s">
        <v>398</v>
      </c>
      <c r="J187" t="s">
        <v>401</v>
      </c>
      <c r="K187" t="s">
        <v>405</v>
      </c>
      <c r="L187">
        <f t="shared" si="8"/>
        <v>971</v>
      </c>
      <c r="M187">
        <f t="shared" ca="1" si="9"/>
        <v>612</v>
      </c>
      <c r="N187">
        <f t="shared" ca="1" si="10"/>
        <v>292</v>
      </c>
      <c r="O187" s="2">
        <f t="shared" ca="1" si="11"/>
        <v>0.63027806385169927</v>
      </c>
    </row>
    <row r="188" spans="1:15" x14ac:dyDescent="0.3">
      <c r="A188" s="3" t="s">
        <v>201</v>
      </c>
      <c r="B188" t="s">
        <v>380</v>
      </c>
      <c r="C188">
        <v>60</v>
      </c>
      <c r="D188" t="s">
        <v>394</v>
      </c>
      <c r="E188">
        <v>1179619</v>
      </c>
      <c r="F188">
        <v>1449184</v>
      </c>
      <c r="G188">
        <v>180</v>
      </c>
      <c r="H188">
        <v>643</v>
      </c>
      <c r="I188" t="s">
        <v>398</v>
      </c>
      <c r="J188" t="s">
        <v>399</v>
      </c>
      <c r="K188" t="s">
        <v>405</v>
      </c>
      <c r="L188">
        <f t="shared" si="8"/>
        <v>971</v>
      </c>
      <c r="M188">
        <f t="shared" ca="1" si="9"/>
        <v>612</v>
      </c>
      <c r="N188">
        <f t="shared" ca="1" si="10"/>
        <v>292</v>
      </c>
      <c r="O188" s="2">
        <f t="shared" ca="1" si="11"/>
        <v>0.63027806385169927</v>
      </c>
    </row>
    <row r="189" spans="1:15" x14ac:dyDescent="0.3">
      <c r="A189" s="3" t="s">
        <v>202</v>
      </c>
      <c r="B189" t="s">
        <v>381</v>
      </c>
      <c r="C189">
        <v>23</v>
      </c>
      <c r="D189" t="s">
        <v>394</v>
      </c>
      <c r="E189">
        <v>893777</v>
      </c>
      <c r="F189">
        <v>1380075</v>
      </c>
      <c r="G189">
        <v>60</v>
      </c>
      <c r="H189">
        <v>697</v>
      </c>
      <c r="I189" t="s">
        <v>398</v>
      </c>
      <c r="J189" t="s">
        <v>401</v>
      </c>
      <c r="K189" t="s">
        <v>404</v>
      </c>
      <c r="L189">
        <f t="shared" si="8"/>
        <v>971</v>
      </c>
      <c r="M189">
        <f t="shared" ca="1" si="9"/>
        <v>612</v>
      </c>
      <c r="N189">
        <f t="shared" ca="1" si="10"/>
        <v>292</v>
      </c>
      <c r="O189" s="2">
        <f t="shared" ca="1" si="11"/>
        <v>0.63027806385169927</v>
      </c>
    </row>
    <row r="190" spans="1:15" x14ac:dyDescent="0.3">
      <c r="A190" s="3" t="s">
        <v>203</v>
      </c>
      <c r="B190" t="s">
        <v>382</v>
      </c>
      <c r="C190">
        <v>41</v>
      </c>
      <c r="D190" t="s">
        <v>395</v>
      </c>
      <c r="E190">
        <v>1469947</v>
      </c>
      <c r="F190">
        <v>531931</v>
      </c>
      <c r="G190">
        <v>36</v>
      </c>
      <c r="H190">
        <v>396</v>
      </c>
      <c r="I190" t="s">
        <v>397</v>
      </c>
      <c r="J190" t="s">
        <v>399</v>
      </c>
      <c r="K190" t="s">
        <v>406</v>
      </c>
      <c r="L190">
        <f t="shared" si="8"/>
        <v>971</v>
      </c>
      <c r="M190">
        <f t="shared" ca="1" si="9"/>
        <v>612</v>
      </c>
      <c r="N190">
        <f t="shared" ca="1" si="10"/>
        <v>292</v>
      </c>
      <c r="O190" s="2">
        <f t="shared" ca="1" si="11"/>
        <v>0.63027806385169927</v>
      </c>
    </row>
    <row r="191" spans="1:15" x14ac:dyDescent="0.3">
      <c r="A191" s="3" t="s">
        <v>204</v>
      </c>
      <c r="B191" t="s">
        <v>383</v>
      </c>
      <c r="C191">
        <v>41</v>
      </c>
      <c r="D191" t="s">
        <v>395</v>
      </c>
      <c r="E191">
        <v>1208814</v>
      </c>
      <c r="F191">
        <v>1839020</v>
      </c>
      <c r="G191">
        <v>24</v>
      </c>
      <c r="H191">
        <v>824</v>
      </c>
      <c r="I191" t="s">
        <v>397</v>
      </c>
      <c r="J191" t="s">
        <v>401</v>
      </c>
      <c r="K191" t="s">
        <v>404</v>
      </c>
      <c r="L191">
        <f t="shared" si="8"/>
        <v>971</v>
      </c>
      <c r="M191">
        <f t="shared" ca="1" si="9"/>
        <v>612</v>
      </c>
      <c r="N191">
        <f t="shared" ca="1" si="10"/>
        <v>292</v>
      </c>
      <c r="O191" s="2">
        <f t="shared" ca="1" si="11"/>
        <v>0.63027806385169927</v>
      </c>
    </row>
    <row r="192" spans="1:15" x14ac:dyDescent="0.3">
      <c r="A192" s="3" t="s">
        <v>205</v>
      </c>
      <c r="B192" t="s">
        <v>384</v>
      </c>
      <c r="C192">
        <v>43</v>
      </c>
      <c r="D192" t="s">
        <v>394</v>
      </c>
      <c r="E192">
        <v>721457</v>
      </c>
      <c r="F192">
        <v>1795910</v>
      </c>
      <c r="G192">
        <v>36</v>
      </c>
      <c r="H192">
        <v>694</v>
      </c>
      <c r="I192" t="s">
        <v>398</v>
      </c>
      <c r="J192" t="s">
        <v>402</v>
      </c>
      <c r="K192" t="s">
        <v>406</v>
      </c>
      <c r="L192">
        <f t="shared" si="8"/>
        <v>971</v>
      </c>
      <c r="M192">
        <f t="shared" ca="1" si="9"/>
        <v>612</v>
      </c>
      <c r="N192">
        <f t="shared" ca="1" si="10"/>
        <v>292</v>
      </c>
      <c r="O192" s="2">
        <f t="shared" ca="1" si="11"/>
        <v>0.63027806385169927</v>
      </c>
    </row>
    <row r="193" spans="1:15" x14ac:dyDescent="0.3">
      <c r="A193" s="3" t="s">
        <v>206</v>
      </c>
      <c r="B193" t="s">
        <v>385</v>
      </c>
      <c r="C193">
        <v>44</v>
      </c>
      <c r="D193" t="s">
        <v>395</v>
      </c>
      <c r="E193">
        <v>776040</v>
      </c>
      <c r="F193">
        <v>894548</v>
      </c>
      <c r="G193">
        <v>12</v>
      </c>
      <c r="H193">
        <v>810</v>
      </c>
      <c r="I193" t="s">
        <v>396</v>
      </c>
      <c r="J193" t="s">
        <v>399</v>
      </c>
      <c r="K193" t="s">
        <v>404</v>
      </c>
      <c r="L193">
        <f t="shared" si="8"/>
        <v>971</v>
      </c>
      <c r="M193">
        <f t="shared" ca="1" si="9"/>
        <v>612</v>
      </c>
      <c r="N193">
        <f t="shared" ca="1" si="10"/>
        <v>292</v>
      </c>
      <c r="O193" s="2">
        <f t="shared" ca="1" si="11"/>
        <v>0.63027806385169927</v>
      </c>
    </row>
    <row r="194" spans="1:15" x14ac:dyDescent="0.3">
      <c r="A194" s="3" t="s">
        <v>207</v>
      </c>
      <c r="B194" t="s">
        <v>386</v>
      </c>
      <c r="C194">
        <v>46</v>
      </c>
      <c r="D194" t="s">
        <v>395</v>
      </c>
      <c r="E194">
        <v>1360698</v>
      </c>
      <c r="F194">
        <v>696044</v>
      </c>
      <c r="G194">
        <v>60</v>
      </c>
      <c r="H194">
        <v>853</v>
      </c>
      <c r="I194" t="s">
        <v>396</v>
      </c>
      <c r="J194" t="s">
        <v>400</v>
      </c>
      <c r="K194" t="s">
        <v>405</v>
      </c>
      <c r="L194">
        <f t="shared" ref="L194:L257" si="12">COUNTA($A$2:$A$1001)</f>
        <v>971</v>
      </c>
      <c r="M194">
        <f t="shared" ca="1" si="9"/>
        <v>612</v>
      </c>
      <c r="N194">
        <f t="shared" ca="1" si="10"/>
        <v>292</v>
      </c>
      <c r="O194" s="2">
        <f t="shared" ca="1" si="11"/>
        <v>0.63027806385169927</v>
      </c>
    </row>
    <row r="195" spans="1:15" x14ac:dyDescent="0.3">
      <c r="A195" s="3" t="s">
        <v>208</v>
      </c>
      <c r="B195" t="s">
        <v>387</v>
      </c>
      <c r="C195">
        <v>44</v>
      </c>
      <c r="D195" t="s">
        <v>394</v>
      </c>
      <c r="E195">
        <v>903829</v>
      </c>
      <c r="F195">
        <v>707150</v>
      </c>
      <c r="G195">
        <v>24</v>
      </c>
      <c r="H195">
        <v>383</v>
      </c>
      <c r="I195" t="s">
        <v>397</v>
      </c>
      <c r="J195" t="s">
        <v>402</v>
      </c>
      <c r="K195" t="s">
        <v>405</v>
      </c>
      <c r="L195">
        <f t="shared" si="12"/>
        <v>971</v>
      </c>
      <c r="M195">
        <f t="shared" ref="M195:M258" ca="1" si="13">COUNTIF($K$2:$K$1001,"Approved")</f>
        <v>612</v>
      </c>
      <c r="N195">
        <f t="shared" ref="N195:N258" ca="1" si="14">COUNTIF($K$2:$K$1001,"Rejected")</f>
        <v>292</v>
      </c>
      <c r="O195" s="2">
        <f t="shared" ref="O195:O258" ca="1" si="15">COUNTIF($K$2:$K$1001,"Approved") / COUNTA($A$2:$A$1001)</f>
        <v>0.63027806385169927</v>
      </c>
    </row>
    <row r="196" spans="1:15" x14ac:dyDescent="0.3">
      <c r="A196" s="3" t="s">
        <v>209</v>
      </c>
      <c r="B196" t="s">
        <v>388</v>
      </c>
      <c r="C196">
        <v>50</v>
      </c>
      <c r="D196" t="s">
        <v>394</v>
      </c>
      <c r="E196">
        <v>379028</v>
      </c>
      <c r="F196">
        <v>1078730</v>
      </c>
      <c r="G196">
        <v>36</v>
      </c>
      <c r="H196">
        <v>307</v>
      </c>
      <c r="I196" t="s">
        <v>397</v>
      </c>
      <c r="J196" t="s">
        <v>401</v>
      </c>
      <c r="K196" t="s">
        <v>404</v>
      </c>
      <c r="L196">
        <f t="shared" si="12"/>
        <v>971</v>
      </c>
      <c r="M196">
        <f t="shared" ca="1" si="13"/>
        <v>612</v>
      </c>
      <c r="N196">
        <f t="shared" ca="1" si="14"/>
        <v>292</v>
      </c>
      <c r="O196" s="2">
        <f t="shared" ca="1" si="15"/>
        <v>0.63027806385169927</v>
      </c>
    </row>
    <row r="197" spans="1:15" x14ac:dyDescent="0.3">
      <c r="A197" s="3" t="s">
        <v>210</v>
      </c>
      <c r="B197" t="s">
        <v>389</v>
      </c>
      <c r="C197">
        <v>45</v>
      </c>
      <c r="D197" t="s">
        <v>395</v>
      </c>
      <c r="E197">
        <v>889896</v>
      </c>
      <c r="F197">
        <v>1695913</v>
      </c>
      <c r="G197">
        <v>24</v>
      </c>
      <c r="H197">
        <v>662</v>
      </c>
      <c r="I197" t="s">
        <v>398</v>
      </c>
      <c r="J197" t="s">
        <v>403</v>
      </c>
      <c r="K197" t="s">
        <v>405</v>
      </c>
      <c r="L197">
        <f t="shared" si="12"/>
        <v>971</v>
      </c>
      <c r="M197">
        <f t="shared" ca="1" si="13"/>
        <v>612</v>
      </c>
      <c r="N197">
        <f t="shared" ca="1" si="14"/>
        <v>292</v>
      </c>
      <c r="O197" s="2">
        <f t="shared" ca="1" si="15"/>
        <v>0.63027806385169927</v>
      </c>
    </row>
    <row r="198" spans="1:15" x14ac:dyDescent="0.3">
      <c r="A198" s="3" t="s">
        <v>211</v>
      </c>
      <c r="B198" t="s">
        <v>390</v>
      </c>
      <c r="C198">
        <v>51</v>
      </c>
      <c r="D198" t="s">
        <v>395</v>
      </c>
      <c r="E198">
        <v>1436765</v>
      </c>
      <c r="F198">
        <v>1114229</v>
      </c>
      <c r="G198">
        <v>180</v>
      </c>
      <c r="H198">
        <v>541</v>
      </c>
      <c r="I198" t="s">
        <v>397</v>
      </c>
      <c r="J198" t="s">
        <v>402</v>
      </c>
      <c r="K198" t="s">
        <v>404</v>
      </c>
      <c r="L198">
        <f t="shared" si="12"/>
        <v>971</v>
      </c>
      <c r="M198">
        <f t="shared" ca="1" si="13"/>
        <v>612</v>
      </c>
      <c r="N198">
        <f t="shared" ca="1" si="14"/>
        <v>292</v>
      </c>
      <c r="O198" s="2">
        <f t="shared" ca="1" si="15"/>
        <v>0.63027806385169927</v>
      </c>
    </row>
    <row r="199" spans="1:15" x14ac:dyDescent="0.3">
      <c r="A199" s="3" t="s">
        <v>212</v>
      </c>
      <c r="B199" t="s">
        <v>391</v>
      </c>
      <c r="C199">
        <v>31</v>
      </c>
      <c r="D199" t="s">
        <v>395</v>
      </c>
      <c r="E199">
        <v>861193</v>
      </c>
      <c r="F199">
        <v>1908649</v>
      </c>
      <c r="G199">
        <v>180</v>
      </c>
      <c r="H199">
        <v>617</v>
      </c>
      <c r="I199" t="s">
        <v>398</v>
      </c>
      <c r="J199" t="s">
        <v>402</v>
      </c>
      <c r="K199" t="s">
        <v>405</v>
      </c>
      <c r="L199">
        <f t="shared" si="12"/>
        <v>971</v>
      </c>
      <c r="M199">
        <f t="shared" ca="1" si="13"/>
        <v>612</v>
      </c>
      <c r="N199">
        <f t="shared" ca="1" si="14"/>
        <v>292</v>
      </c>
      <c r="O199" s="2">
        <f t="shared" ca="1" si="15"/>
        <v>0.63027806385169927</v>
      </c>
    </row>
    <row r="200" spans="1:15" x14ac:dyDescent="0.3">
      <c r="A200" s="3" t="s">
        <v>213</v>
      </c>
      <c r="B200" t="s">
        <v>392</v>
      </c>
      <c r="C200">
        <v>50</v>
      </c>
      <c r="D200" t="s">
        <v>395</v>
      </c>
      <c r="E200">
        <v>1424274</v>
      </c>
      <c r="F200">
        <v>1849616</v>
      </c>
      <c r="G200">
        <v>36</v>
      </c>
      <c r="H200">
        <v>525</v>
      </c>
      <c r="I200" t="s">
        <v>396</v>
      </c>
      <c r="J200" t="s">
        <v>403</v>
      </c>
      <c r="K200" t="s">
        <v>404</v>
      </c>
      <c r="L200">
        <f t="shared" si="12"/>
        <v>971</v>
      </c>
      <c r="M200">
        <f t="shared" ca="1" si="13"/>
        <v>612</v>
      </c>
      <c r="N200">
        <f t="shared" ca="1" si="14"/>
        <v>292</v>
      </c>
      <c r="O200" s="2">
        <f t="shared" ca="1" si="15"/>
        <v>0.63027806385169927</v>
      </c>
    </row>
    <row r="201" spans="1:15" x14ac:dyDescent="0.3">
      <c r="A201" s="3" t="s">
        <v>214</v>
      </c>
      <c r="B201" t="s">
        <v>393</v>
      </c>
      <c r="C201">
        <v>60</v>
      </c>
      <c r="D201" t="s">
        <v>394</v>
      </c>
      <c r="E201">
        <v>391120</v>
      </c>
      <c r="F201">
        <v>1909800</v>
      </c>
      <c r="G201">
        <v>60</v>
      </c>
      <c r="H201">
        <v>736</v>
      </c>
      <c r="I201" t="s">
        <v>396</v>
      </c>
      <c r="J201" t="s">
        <v>403</v>
      </c>
      <c r="K201" t="s">
        <v>405</v>
      </c>
      <c r="L201">
        <f t="shared" si="12"/>
        <v>971</v>
      </c>
      <c r="M201">
        <f t="shared" ca="1" si="13"/>
        <v>612</v>
      </c>
      <c r="N201">
        <f t="shared" ca="1" si="14"/>
        <v>292</v>
      </c>
      <c r="O201" s="2">
        <f t="shared" ca="1" si="15"/>
        <v>0.63027806385169927</v>
      </c>
    </row>
    <row r="202" spans="1:15" x14ac:dyDescent="0.3">
      <c r="A202" s="3" t="s">
        <v>407</v>
      </c>
      <c r="B202" t="str">
        <f ca="1">CHOOSE(RANDBETWEEN(1,10),
"Mr. Raj Kumar","Ms. Priya Sharma","Mr. Amit Das","Ms. Anjali Singh","Mr. Rohan Gupta",
"Ms. Neha Verma","Mr. Suresh Rao","Ms. Pooja Patel","Mr. Arun Kumar","Ms. Kajal Yadav")</f>
        <v>Mr. Rohan Gupta</v>
      </c>
      <c r="C202">
        <f ca="1">RANDBETWEEN(21,65)</f>
        <v>52</v>
      </c>
      <c r="D202" t="str">
        <f>IF(LEFT(B2,3)="Mr.","Male","Female")</f>
        <v>Female</v>
      </c>
      <c r="E202">
        <f ca="1">RANDBETWEEN(200000,2000000)</f>
        <v>490614</v>
      </c>
      <c r="F202">
        <f ca="1">RANDBETWEEN(50000,2500000)</f>
        <v>2136777</v>
      </c>
      <c r="G202">
        <f ca="1">CHOOSE(RANDBETWEEN(1,7),12,24,36,48,60,72,84)</f>
        <v>48</v>
      </c>
      <c r="H202">
        <f ca="1">RANDBETWEEN(300,900)</f>
        <v>562</v>
      </c>
      <c r="I202" t="str">
        <f ca="1">CHOOSE(RANDBETWEEN(1,6),
"Salaried","Self-Employed","Business","Freelancer","Student","Contract-Based")</f>
        <v>Self-Employed</v>
      </c>
      <c r="J202" t="str">
        <f ca="1">CHOOSE(RANDBETWEEN(1,5),
"Home","Car","Education","Business","Personal")</f>
        <v>Personal</v>
      </c>
      <c r="K202" t="str">
        <f ca="1">IF(RANDBETWEEN(1,100)&lt;=70,"Approved","Rejected")</f>
        <v>Approved</v>
      </c>
      <c r="L202">
        <f t="shared" si="12"/>
        <v>971</v>
      </c>
      <c r="M202">
        <f t="shared" ca="1" si="13"/>
        <v>612</v>
      </c>
      <c r="N202">
        <f t="shared" ca="1" si="14"/>
        <v>292</v>
      </c>
      <c r="O202" s="2">
        <f t="shared" ca="1" si="15"/>
        <v>0.63027806385169927</v>
      </c>
    </row>
    <row r="203" spans="1:15" x14ac:dyDescent="0.3">
      <c r="A203" s="3" t="s">
        <v>408</v>
      </c>
      <c r="B203" t="str">
        <f t="shared" ref="B203:B266" ca="1" si="16">CHOOSE(RANDBETWEEN(1,10),
"Mr. Raj Kumar","Ms. Priya Sharma","Mr. Amit Das","Ms. Anjali Singh","Mr. Rohan Gupta",
"Ms. Neha Verma","Mr. Suresh Rao","Ms. Pooja Patel","Mr. Arun Kumar","Ms. Kajal Yadav")</f>
        <v>Mr. Raj Kumar</v>
      </c>
      <c r="C203">
        <f t="shared" ref="C203:C266" ca="1" si="17">RANDBETWEEN(21,65)</f>
        <v>30</v>
      </c>
      <c r="D203" t="str">
        <f t="shared" ref="D203:D266" si="18">IF(LEFT(B3,3)="Mr.","Male","Female")</f>
        <v>Male</v>
      </c>
      <c r="E203">
        <f t="shared" ref="E203:E266" ca="1" si="19">RANDBETWEEN(200000,2000000)</f>
        <v>1669716</v>
      </c>
      <c r="F203">
        <f t="shared" ref="F203:F266" ca="1" si="20">RANDBETWEEN(50000,2500000)</f>
        <v>1452759</v>
      </c>
      <c r="G203">
        <f t="shared" ref="G203:G266" ca="1" si="21">CHOOSE(RANDBETWEEN(1,7),12,24,36,48,60,72,84)</f>
        <v>84</v>
      </c>
      <c r="H203">
        <f t="shared" ref="H203:H266" ca="1" si="22">RANDBETWEEN(300,900)</f>
        <v>560</v>
      </c>
      <c r="I203" t="str">
        <f t="shared" ref="I203:I266" ca="1" si="23">CHOOSE(RANDBETWEEN(1,6),
"Salaried","Self-Employed","Business","Freelancer","Student","Contract-Based")</f>
        <v>Student</v>
      </c>
      <c r="J203" t="str">
        <f t="shared" ref="J203:J266" ca="1" si="24">CHOOSE(RANDBETWEEN(1,5),
"Home","Car","Education","Business","Personal")</f>
        <v>Home</v>
      </c>
      <c r="K203" t="str">
        <f t="shared" ref="K203:K266" ca="1" si="25">IF(RANDBETWEEN(1,100)&lt;=70,"Approved","Rejected")</f>
        <v>Rejected</v>
      </c>
      <c r="L203">
        <f t="shared" si="12"/>
        <v>971</v>
      </c>
      <c r="M203">
        <f t="shared" ca="1" si="13"/>
        <v>612</v>
      </c>
      <c r="N203">
        <f t="shared" ca="1" si="14"/>
        <v>292</v>
      </c>
      <c r="O203" s="2">
        <f t="shared" ca="1" si="15"/>
        <v>0.63027806385169927</v>
      </c>
    </row>
    <row r="204" spans="1:15" x14ac:dyDescent="0.3">
      <c r="A204" s="3" t="s">
        <v>409</v>
      </c>
      <c r="B204" t="str">
        <f t="shared" ca="1" si="16"/>
        <v>Mr. Amit Das</v>
      </c>
      <c r="C204">
        <f t="shared" ca="1" si="17"/>
        <v>26</v>
      </c>
      <c r="D204" t="str">
        <f t="shared" si="18"/>
        <v>Male</v>
      </c>
      <c r="E204">
        <f t="shared" ca="1" si="19"/>
        <v>364429</v>
      </c>
      <c r="F204">
        <f t="shared" ca="1" si="20"/>
        <v>2201286</v>
      </c>
      <c r="G204">
        <f t="shared" ca="1" si="21"/>
        <v>72</v>
      </c>
      <c r="H204">
        <f t="shared" ca="1" si="22"/>
        <v>559</v>
      </c>
      <c r="I204" t="str">
        <f t="shared" ca="1" si="23"/>
        <v>Self-Employed</v>
      </c>
      <c r="J204" t="str">
        <f t="shared" ca="1" si="24"/>
        <v>Education</v>
      </c>
      <c r="K204" t="str">
        <f t="shared" ca="1" si="25"/>
        <v>Approved</v>
      </c>
      <c r="L204">
        <f t="shared" si="12"/>
        <v>971</v>
      </c>
      <c r="M204">
        <f t="shared" ca="1" si="13"/>
        <v>612</v>
      </c>
      <c r="N204">
        <f t="shared" ca="1" si="14"/>
        <v>292</v>
      </c>
      <c r="O204" s="2">
        <f t="shared" ca="1" si="15"/>
        <v>0.63027806385169927</v>
      </c>
    </row>
    <row r="205" spans="1:15" x14ac:dyDescent="0.3">
      <c r="A205" s="3" t="s">
        <v>410</v>
      </c>
      <c r="B205" t="str">
        <f t="shared" ca="1" si="16"/>
        <v>Mr. Rohan Gupta</v>
      </c>
      <c r="C205">
        <f t="shared" ca="1" si="17"/>
        <v>57</v>
      </c>
      <c r="D205" t="str">
        <f t="shared" si="18"/>
        <v>Male</v>
      </c>
      <c r="E205">
        <f t="shared" ca="1" si="19"/>
        <v>1397597</v>
      </c>
      <c r="F205">
        <f t="shared" ca="1" si="20"/>
        <v>863932</v>
      </c>
      <c r="G205">
        <f t="shared" ca="1" si="21"/>
        <v>36</v>
      </c>
      <c r="H205">
        <f t="shared" ca="1" si="22"/>
        <v>611</v>
      </c>
      <c r="I205" t="str">
        <f t="shared" ca="1" si="23"/>
        <v>Self-Employed</v>
      </c>
      <c r="J205" t="str">
        <f t="shared" ca="1" si="24"/>
        <v>Home</v>
      </c>
      <c r="K205" t="str">
        <f t="shared" ca="1" si="25"/>
        <v>Rejected</v>
      </c>
      <c r="L205">
        <f t="shared" si="12"/>
        <v>971</v>
      </c>
      <c r="M205">
        <f t="shared" ca="1" si="13"/>
        <v>612</v>
      </c>
      <c r="N205">
        <f t="shared" ca="1" si="14"/>
        <v>292</v>
      </c>
      <c r="O205" s="2">
        <f t="shared" ca="1" si="15"/>
        <v>0.63027806385169927</v>
      </c>
    </row>
    <row r="206" spans="1:15" x14ac:dyDescent="0.3">
      <c r="A206" s="3" t="s">
        <v>411</v>
      </c>
      <c r="B206" t="str">
        <f t="shared" ca="1" si="16"/>
        <v>Mr. Suresh Rao</v>
      </c>
      <c r="C206">
        <f t="shared" ca="1" si="17"/>
        <v>65</v>
      </c>
      <c r="D206" t="str">
        <f t="shared" si="18"/>
        <v>Female</v>
      </c>
      <c r="E206">
        <f t="shared" ca="1" si="19"/>
        <v>234552</v>
      </c>
      <c r="F206">
        <f t="shared" ca="1" si="20"/>
        <v>1416993</v>
      </c>
      <c r="G206">
        <f t="shared" ca="1" si="21"/>
        <v>36</v>
      </c>
      <c r="H206">
        <f t="shared" ca="1" si="22"/>
        <v>854</v>
      </c>
      <c r="I206" t="str">
        <f t="shared" ca="1" si="23"/>
        <v>Salaried</v>
      </c>
      <c r="J206" t="str">
        <f t="shared" ca="1" si="24"/>
        <v>Personal</v>
      </c>
      <c r="K206" t="str">
        <f t="shared" ca="1" si="25"/>
        <v>Rejected</v>
      </c>
      <c r="L206">
        <f t="shared" si="12"/>
        <v>971</v>
      </c>
      <c r="M206">
        <f t="shared" ca="1" si="13"/>
        <v>612</v>
      </c>
      <c r="N206">
        <f t="shared" ca="1" si="14"/>
        <v>292</v>
      </c>
      <c r="O206" s="2">
        <f t="shared" ca="1" si="15"/>
        <v>0.63027806385169927</v>
      </c>
    </row>
    <row r="207" spans="1:15" x14ac:dyDescent="0.3">
      <c r="A207" s="3" t="s">
        <v>412</v>
      </c>
      <c r="B207" t="str">
        <f t="shared" ca="1" si="16"/>
        <v>Mr. Rohan Gupta</v>
      </c>
      <c r="C207">
        <f t="shared" ca="1" si="17"/>
        <v>37</v>
      </c>
      <c r="D207" t="str">
        <f t="shared" si="18"/>
        <v>Female</v>
      </c>
      <c r="E207">
        <f t="shared" ca="1" si="19"/>
        <v>238347</v>
      </c>
      <c r="F207">
        <f t="shared" ca="1" si="20"/>
        <v>367087</v>
      </c>
      <c r="G207">
        <f t="shared" ca="1" si="21"/>
        <v>60</v>
      </c>
      <c r="H207">
        <f t="shared" ca="1" si="22"/>
        <v>397</v>
      </c>
      <c r="I207" t="str">
        <f t="shared" ca="1" si="23"/>
        <v>Contract-Based</v>
      </c>
      <c r="J207" t="str">
        <f t="shared" ca="1" si="24"/>
        <v>Car</v>
      </c>
      <c r="K207" t="str">
        <f t="shared" ca="1" si="25"/>
        <v>Approved</v>
      </c>
      <c r="L207">
        <f t="shared" si="12"/>
        <v>971</v>
      </c>
      <c r="M207">
        <f t="shared" ca="1" si="13"/>
        <v>612</v>
      </c>
      <c r="N207">
        <f t="shared" ca="1" si="14"/>
        <v>292</v>
      </c>
      <c r="O207" s="2">
        <f t="shared" ca="1" si="15"/>
        <v>0.63027806385169927</v>
      </c>
    </row>
    <row r="208" spans="1:15" x14ac:dyDescent="0.3">
      <c r="A208" s="3" t="s">
        <v>413</v>
      </c>
      <c r="B208" t="str">
        <f t="shared" ca="1" si="16"/>
        <v>Mr. Arun Kumar</v>
      </c>
      <c r="C208">
        <f t="shared" ca="1" si="17"/>
        <v>21</v>
      </c>
      <c r="D208" t="str">
        <f t="shared" si="18"/>
        <v>Male</v>
      </c>
      <c r="E208">
        <f t="shared" ca="1" si="19"/>
        <v>1175436</v>
      </c>
      <c r="F208">
        <f t="shared" ca="1" si="20"/>
        <v>66640</v>
      </c>
      <c r="G208">
        <f t="shared" ca="1" si="21"/>
        <v>36</v>
      </c>
      <c r="H208">
        <f t="shared" ca="1" si="22"/>
        <v>717</v>
      </c>
      <c r="I208" t="str">
        <f t="shared" ca="1" si="23"/>
        <v>Freelancer</v>
      </c>
      <c r="J208" t="str">
        <f t="shared" ca="1" si="24"/>
        <v>Education</v>
      </c>
      <c r="K208" t="str">
        <f t="shared" ca="1" si="25"/>
        <v>Approved</v>
      </c>
      <c r="L208">
        <f t="shared" si="12"/>
        <v>971</v>
      </c>
      <c r="M208">
        <f t="shared" ca="1" si="13"/>
        <v>612</v>
      </c>
      <c r="N208">
        <f t="shared" ca="1" si="14"/>
        <v>292</v>
      </c>
      <c r="O208" s="2">
        <f t="shared" ca="1" si="15"/>
        <v>0.63027806385169927</v>
      </c>
    </row>
    <row r="209" spans="1:15" x14ac:dyDescent="0.3">
      <c r="A209" s="3" t="s">
        <v>414</v>
      </c>
      <c r="B209" t="str">
        <f t="shared" ca="1" si="16"/>
        <v>Ms. Kajal Yadav</v>
      </c>
      <c r="C209">
        <f t="shared" ca="1" si="17"/>
        <v>44</v>
      </c>
      <c r="D209" t="str">
        <f t="shared" si="18"/>
        <v>Male</v>
      </c>
      <c r="E209">
        <f t="shared" ca="1" si="19"/>
        <v>892732</v>
      </c>
      <c r="F209">
        <f t="shared" ca="1" si="20"/>
        <v>2117913</v>
      </c>
      <c r="G209">
        <f t="shared" ca="1" si="21"/>
        <v>60</v>
      </c>
      <c r="H209">
        <f t="shared" ca="1" si="22"/>
        <v>514</v>
      </c>
      <c r="I209" t="str">
        <f t="shared" ca="1" si="23"/>
        <v>Contract-Based</v>
      </c>
      <c r="J209" t="str">
        <f t="shared" ca="1" si="24"/>
        <v>Education</v>
      </c>
      <c r="K209" t="str">
        <f t="shared" ca="1" si="25"/>
        <v>Rejected</v>
      </c>
      <c r="L209">
        <f t="shared" si="12"/>
        <v>971</v>
      </c>
      <c r="M209">
        <f t="shared" ca="1" si="13"/>
        <v>612</v>
      </c>
      <c r="N209">
        <f t="shared" ca="1" si="14"/>
        <v>292</v>
      </c>
      <c r="O209" s="2">
        <f t="shared" ca="1" si="15"/>
        <v>0.63027806385169927</v>
      </c>
    </row>
    <row r="210" spans="1:15" x14ac:dyDescent="0.3">
      <c r="A210" s="3" t="s">
        <v>415</v>
      </c>
      <c r="B210" t="str">
        <f t="shared" ca="1" si="16"/>
        <v>Mr. Arun Kumar</v>
      </c>
      <c r="C210">
        <f t="shared" ca="1" si="17"/>
        <v>38</v>
      </c>
      <c r="D210" t="str">
        <f t="shared" si="18"/>
        <v>Male</v>
      </c>
      <c r="E210">
        <f t="shared" ca="1" si="19"/>
        <v>319882</v>
      </c>
      <c r="F210">
        <f t="shared" ca="1" si="20"/>
        <v>1402826</v>
      </c>
      <c r="G210">
        <f t="shared" ca="1" si="21"/>
        <v>60</v>
      </c>
      <c r="H210">
        <f t="shared" ca="1" si="22"/>
        <v>312</v>
      </c>
      <c r="I210" t="str">
        <f t="shared" ca="1" si="23"/>
        <v>Business</v>
      </c>
      <c r="J210" t="str">
        <f t="shared" ca="1" si="24"/>
        <v>Car</v>
      </c>
      <c r="K210" t="str">
        <f t="shared" ca="1" si="25"/>
        <v>Approved</v>
      </c>
      <c r="L210">
        <f t="shared" si="12"/>
        <v>971</v>
      </c>
      <c r="M210">
        <f t="shared" ca="1" si="13"/>
        <v>612</v>
      </c>
      <c r="N210">
        <f t="shared" ca="1" si="14"/>
        <v>292</v>
      </c>
      <c r="O210" s="2">
        <f t="shared" ca="1" si="15"/>
        <v>0.63027806385169927</v>
      </c>
    </row>
    <row r="211" spans="1:15" x14ac:dyDescent="0.3">
      <c r="A211" s="3" t="s">
        <v>416</v>
      </c>
      <c r="B211" t="str">
        <f t="shared" ca="1" si="16"/>
        <v>Mr. Rohan Gupta</v>
      </c>
      <c r="C211">
        <f t="shared" ca="1" si="17"/>
        <v>52</v>
      </c>
      <c r="D211" t="str">
        <f t="shared" si="18"/>
        <v>Male</v>
      </c>
      <c r="E211">
        <f t="shared" ca="1" si="19"/>
        <v>813087</v>
      </c>
      <c r="F211">
        <f t="shared" ca="1" si="20"/>
        <v>501898</v>
      </c>
      <c r="G211">
        <f t="shared" ca="1" si="21"/>
        <v>24</v>
      </c>
      <c r="H211">
        <f t="shared" ca="1" si="22"/>
        <v>315</v>
      </c>
      <c r="I211" t="str">
        <f t="shared" ca="1" si="23"/>
        <v>Freelancer</v>
      </c>
      <c r="J211" t="str">
        <f t="shared" ca="1" si="24"/>
        <v>Business</v>
      </c>
      <c r="K211" t="str">
        <f t="shared" ca="1" si="25"/>
        <v>Approved</v>
      </c>
      <c r="L211">
        <f t="shared" si="12"/>
        <v>971</v>
      </c>
      <c r="M211">
        <f t="shared" ca="1" si="13"/>
        <v>612</v>
      </c>
      <c r="N211">
        <f t="shared" ca="1" si="14"/>
        <v>292</v>
      </c>
      <c r="O211" s="2">
        <f t="shared" ca="1" si="15"/>
        <v>0.63027806385169927</v>
      </c>
    </row>
    <row r="212" spans="1:15" x14ac:dyDescent="0.3">
      <c r="A212" s="3" t="s">
        <v>417</v>
      </c>
      <c r="B212" t="str">
        <f t="shared" ca="1" si="16"/>
        <v>Mr. Arun Kumar</v>
      </c>
      <c r="C212">
        <f t="shared" ca="1" si="17"/>
        <v>54</v>
      </c>
      <c r="D212" t="str">
        <f t="shared" si="18"/>
        <v>Female</v>
      </c>
      <c r="E212">
        <f t="shared" ca="1" si="19"/>
        <v>731802</v>
      </c>
      <c r="F212">
        <f t="shared" ca="1" si="20"/>
        <v>375732</v>
      </c>
      <c r="G212">
        <f t="shared" ca="1" si="21"/>
        <v>36</v>
      </c>
      <c r="H212">
        <f t="shared" ca="1" si="22"/>
        <v>871</v>
      </c>
      <c r="I212" t="str">
        <f t="shared" ca="1" si="23"/>
        <v>Business</v>
      </c>
      <c r="J212" t="str">
        <f t="shared" ca="1" si="24"/>
        <v>Business</v>
      </c>
      <c r="K212" t="str">
        <f t="shared" ca="1" si="25"/>
        <v>Rejected</v>
      </c>
      <c r="L212">
        <f t="shared" si="12"/>
        <v>971</v>
      </c>
      <c r="M212">
        <f t="shared" ca="1" si="13"/>
        <v>612</v>
      </c>
      <c r="N212">
        <f t="shared" ca="1" si="14"/>
        <v>292</v>
      </c>
      <c r="O212" s="2">
        <f t="shared" ca="1" si="15"/>
        <v>0.63027806385169927</v>
      </c>
    </row>
    <row r="213" spans="1:15" x14ac:dyDescent="0.3">
      <c r="A213" s="3" t="s">
        <v>418</v>
      </c>
      <c r="B213" t="str">
        <f t="shared" ca="1" si="16"/>
        <v>Mr. Rohan Gupta</v>
      </c>
      <c r="C213">
        <f t="shared" ca="1" si="17"/>
        <v>51</v>
      </c>
      <c r="D213" t="str">
        <f t="shared" si="18"/>
        <v>Male</v>
      </c>
      <c r="E213">
        <f t="shared" ca="1" si="19"/>
        <v>1119621</v>
      </c>
      <c r="F213">
        <f t="shared" ca="1" si="20"/>
        <v>1124873</v>
      </c>
      <c r="G213">
        <f t="shared" ca="1" si="21"/>
        <v>48</v>
      </c>
      <c r="H213">
        <f t="shared" ca="1" si="22"/>
        <v>558</v>
      </c>
      <c r="I213" t="str">
        <f t="shared" ca="1" si="23"/>
        <v>Business</v>
      </c>
      <c r="J213" t="str">
        <f t="shared" ca="1" si="24"/>
        <v>Education</v>
      </c>
      <c r="K213" t="str">
        <f t="shared" ca="1" si="25"/>
        <v>Rejected</v>
      </c>
      <c r="L213">
        <f t="shared" si="12"/>
        <v>971</v>
      </c>
      <c r="M213">
        <f t="shared" ca="1" si="13"/>
        <v>612</v>
      </c>
      <c r="N213">
        <f t="shared" ca="1" si="14"/>
        <v>292</v>
      </c>
      <c r="O213" s="2">
        <f t="shared" ca="1" si="15"/>
        <v>0.63027806385169927</v>
      </c>
    </row>
    <row r="214" spans="1:15" x14ac:dyDescent="0.3">
      <c r="A214" s="3" t="s">
        <v>419</v>
      </c>
      <c r="B214" t="str">
        <f t="shared" ca="1" si="16"/>
        <v>Mr. Amit Das</v>
      </c>
      <c r="C214">
        <f t="shared" ca="1" si="17"/>
        <v>22</v>
      </c>
      <c r="D214" t="str">
        <f t="shared" si="18"/>
        <v>Female</v>
      </c>
      <c r="E214">
        <f t="shared" ca="1" si="19"/>
        <v>1895439</v>
      </c>
      <c r="F214">
        <f t="shared" ca="1" si="20"/>
        <v>2225049</v>
      </c>
      <c r="G214">
        <f t="shared" ca="1" si="21"/>
        <v>72</v>
      </c>
      <c r="H214">
        <f t="shared" ca="1" si="22"/>
        <v>465</v>
      </c>
      <c r="I214" t="str">
        <f t="shared" ca="1" si="23"/>
        <v>Business</v>
      </c>
      <c r="J214" t="str">
        <f t="shared" ca="1" si="24"/>
        <v>Home</v>
      </c>
      <c r="K214" t="str">
        <f t="shared" ca="1" si="25"/>
        <v>Approved</v>
      </c>
      <c r="L214">
        <f t="shared" si="12"/>
        <v>971</v>
      </c>
      <c r="M214">
        <f t="shared" ca="1" si="13"/>
        <v>612</v>
      </c>
      <c r="N214">
        <f t="shared" ca="1" si="14"/>
        <v>292</v>
      </c>
      <c r="O214" s="2">
        <f t="shared" ca="1" si="15"/>
        <v>0.63027806385169927</v>
      </c>
    </row>
    <row r="215" spans="1:15" x14ac:dyDescent="0.3">
      <c r="A215" s="3" t="s">
        <v>420</v>
      </c>
      <c r="B215" t="str">
        <f t="shared" ca="1" si="16"/>
        <v>Ms. Pooja Patel</v>
      </c>
      <c r="C215">
        <f t="shared" ca="1" si="17"/>
        <v>29</v>
      </c>
      <c r="D215" t="str">
        <f t="shared" si="18"/>
        <v>Female</v>
      </c>
      <c r="E215">
        <f t="shared" ca="1" si="19"/>
        <v>1664633</v>
      </c>
      <c r="F215">
        <f t="shared" ca="1" si="20"/>
        <v>2135340</v>
      </c>
      <c r="G215">
        <f t="shared" ca="1" si="21"/>
        <v>72</v>
      </c>
      <c r="H215">
        <f t="shared" ca="1" si="22"/>
        <v>647</v>
      </c>
      <c r="I215" t="str">
        <f t="shared" ca="1" si="23"/>
        <v>Contract-Based</v>
      </c>
      <c r="J215" t="str">
        <f t="shared" ca="1" si="24"/>
        <v>Business</v>
      </c>
      <c r="K215" t="str">
        <f t="shared" ca="1" si="25"/>
        <v>Approved</v>
      </c>
      <c r="L215">
        <f t="shared" si="12"/>
        <v>971</v>
      </c>
      <c r="M215">
        <f t="shared" ca="1" si="13"/>
        <v>612</v>
      </c>
      <c r="N215">
        <f t="shared" ca="1" si="14"/>
        <v>292</v>
      </c>
      <c r="O215" s="2">
        <f t="shared" ca="1" si="15"/>
        <v>0.63027806385169927</v>
      </c>
    </row>
    <row r="216" spans="1:15" x14ac:dyDescent="0.3">
      <c r="A216" s="3" t="s">
        <v>421</v>
      </c>
      <c r="B216" t="str">
        <f t="shared" ca="1" si="16"/>
        <v>Mr. Amit Das</v>
      </c>
      <c r="C216">
        <f t="shared" ca="1" si="17"/>
        <v>29</v>
      </c>
      <c r="D216" t="str">
        <f t="shared" si="18"/>
        <v>Female</v>
      </c>
      <c r="E216">
        <f t="shared" ca="1" si="19"/>
        <v>1259530</v>
      </c>
      <c r="F216">
        <f t="shared" ca="1" si="20"/>
        <v>949501</v>
      </c>
      <c r="G216">
        <f t="shared" ca="1" si="21"/>
        <v>72</v>
      </c>
      <c r="H216">
        <f t="shared" ca="1" si="22"/>
        <v>559</v>
      </c>
      <c r="I216" t="str">
        <f t="shared" ca="1" si="23"/>
        <v>Freelancer</v>
      </c>
      <c r="J216" t="str">
        <f t="shared" ca="1" si="24"/>
        <v>Personal</v>
      </c>
      <c r="K216" t="str">
        <f t="shared" ca="1" si="25"/>
        <v>Approved</v>
      </c>
      <c r="L216">
        <f t="shared" si="12"/>
        <v>971</v>
      </c>
      <c r="M216">
        <f t="shared" ca="1" si="13"/>
        <v>612</v>
      </c>
      <c r="N216">
        <f t="shared" ca="1" si="14"/>
        <v>292</v>
      </c>
      <c r="O216" s="2">
        <f t="shared" ca="1" si="15"/>
        <v>0.63027806385169927</v>
      </c>
    </row>
    <row r="217" spans="1:15" x14ac:dyDescent="0.3">
      <c r="A217" s="3" t="s">
        <v>422</v>
      </c>
      <c r="B217" t="str">
        <f t="shared" ca="1" si="16"/>
        <v>Mr. Amit Das</v>
      </c>
      <c r="C217">
        <f t="shared" ca="1" si="17"/>
        <v>42</v>
      </c>
      <c r="D217" t="str">
        <f t="shared" si="18"/>
        <v>Female</v>
      </c>
      <c r="E217">
        <f t="shared" ca="1" si="19"/>
        <v>867772</v>
      </c>
      <c r="F217">
        <f t="shared" ca="1" si="20"/>
        <v>1283378</v>
      </c>
      <c r="G217">
        <f t="shared" ca="1" si="21"/>
        <v>60</v>
      </c>
      <c r="H217">
        <f t="shared" ca="1" si="22"/>
        <v>669</v>
      </c>
      <c r="I217" t="str">
        <f t="shared" ca="1" si="23"/>
        <v>Contract-Based</v>
      </c>
      <c r="J217" t="str">
        <f t="shared" ca="1" si="24"/>
        <v>Personal</v>
      </c>
      <c r="K217" t="str">
        <f t="shared" ca="1" si="25"/>
        <v>Rejected</v>
      </c>
      <c r="L217">
        <f t="shared" si="12"/>
        <v>971</v>
      </c>
      <c r="M217">
        <f t="shared" ca="1" si="13"/>
        <v>612</v>
      </c>
      <c r="N217">
        <f t="shared" ca="1" si="14"/>
        <v>292</v>
      </c>
      <c r="O217" s="2">
        <f t="shared" ca="1" si="15"/>
        <v>0.63027806385169927</v>
      </c>
    </row>
    <row r="218" spans="1:15" x14ac:dyDescent="0.3">
      <c r="A218" s="3" t="s">
        <v>423</v>
      </c>
      <c r="B218" t="str">
        <f t="shared" ca="1" si="16"/>
        <v>Mr. Arun Kumar</v>
      </c>
      <c r="C218">
        <f t="shared" ca="1" si="17"/>
        <v>53</v>
      </c>
      <c r="D218" t="str">
        <f t="shared" si="18"/>
        <v>Male</v>
      </c>
      <c r="E218">
        <f t="shared" ca="1" si="19"/>
        <v>1602992</v>
      </c>
      <c r="F218">
        <f t="shared" ca="1" si="20"/>
        <v>2294134</v>
      </c>
      <c r="G218">
        <f t="shared" ca="1" si="21"/>
        <v>36</v>
      </c>
      <c r="H218">
        <f t="shared" ca="1" si="22"/>
        <v>770</v>
      </c>
      <c r="I218" t="str">
        <f t="shared" ca="1" si="23"/>
        <v>Student</v>
      </c>
      <c r="J218" t="str">
        <f t="shared" ca="1" si="24"/>
        <v>Home</v>
      </c>
      <c r="K218" t="str">
        <f t="shared" ca="1" si="25"/>
        <v>Rejected</v>
      </c>
      <c r="L218">
        <f t="shared" si="12"/>
        <v>971</v>
      </c>
      <c r="M218">
        <f t="shared" ca="1" si="13"/>
        <v>612</v>
      </c>
      <c r="N218">
        <f t="shared" ca="1" si="14"/>
        <v>292</v>
      </c>
      <c r="O218" s="2">
        <f t="shared" ca="1" si="15"/>
        <v>0.63027806385169927</v>
      </c>
    </row>
    <row r="219" spans="1:15" x14ac:dyDescent="0.3">
      <c r="A219" s="3" t="s">
        <v>424</v>
      </c>
      <c r="B219" t="str">
        <f t="shared" ca="1" si="16"/>
        <v>Ms. Priya Sharma</v>
      </c>
      <c r="C219">
        <f t="shared" ca="1" si="17"/>
        <v>62</v>
      </c>
      <c r="D219" t="str">
        <f t="shared" si="18"/>
        <v>Female</v>
      </c>
      <c r="E219">
        <f t="shared" ca="1" si="19"/>
        <v>706987</v>
      </c>
      <c r="F219">
        <f t="shared" ca="1" si="20"/>
        <v>1175400</v>
      </c>
      <c r="G219">
        <f t="shared" ca="1" si="21"/>
        <v>24</v>
      </c>
      <c r="H219">
        <f t="shared" ca="1" si="22"/>
        <v>338</v>
      </c>
      <c r="I219" t="str">
        <f t="shared" ca="1" si="23"/>
        <v>Self-Employed</v>
      </c>
      <c r="J219" t="str">
        <f t="shared" ca="1" si="24"/>
        <v>Personal</v>
      </c>
      <c r="K219" t="str">
        <f t="shared" ca="1" si="25"/>
        <v>Rejected</v>
      </c>
      <c r="L219">
        <f t="shared" si="12"/>
        <v>971</v>
      </c>
      <c r="M219">
        <f t="shared" ca="1" si="13"/>
        <v>612</v>
      </c>
      <c r="N219">
        <f t="shared" ca="1" si="14"/>
        <v>292</v>
      </c>
      <c r="O219" s="2">
        <f t="shared" ca="1" si="15"/>
        <v>0.63027806385169927</v>
      </c>
    </row>
    <row r="220" spans="1:15" x14ac:dyDescent="0.3">
      <c r="A220" s="3" t="s">
        <v>425</v>
      </c>
      <c r="B220" t="str">
        <f t="shared" ca="1" si="16"/>
        <v>Ms. Pooja Patel</v>
      </c>
      <c r="C220">
        <f t="shared" ca="1" si="17"/>
        <v>39</v>
      </c>
      <c r="D220" t="str">
        <f t="shared" si="18"/>
        <v>Female</v>
      </c>
      <c r="E220">
        <f t="shared" ca="1" si="19"/>
        <v>1436420</v>
      </c>
      <c r="F220">
        <f t="shared" ca="1" si="20"/>
        <v>2206915</v>
      </c>
      <c r="G220">
        <f t="shared" ca="1" si="21"/>
        <v>72</v>
      </c>
      <c r="H220">
        <f t="shared" ca="1" si="22"/>
        <v>546</v>
      </c>
      <c r="I220" t="str">
        <f t="shared" ca="1" si="23"/>
        <v>Self-Employed</v>
      </c>
      <c r="J220" t="str">
        <f t="shared" ca="1" si="24"/>
        <v>Business</v>
      </c>
      <c r="K220" t="str">
        <f t="shared" ca="1" si="25"/>
        <v>Approved</v>
      </c>
      <c r="L220">
        <f t="shared" si="12"/>
        <v>971</v>
      </c>
      <c r="M220">
        <f t="shared" ca="1" si="13"/>
        <v>612</v>
      </c>
      <c r="N220">
        <f t="shared" ca="1" si="14"/>
        <v>292</v>
      </c>
      <c r="O220" s="2">
        <f t="shared" ca="1" si="15"/>
        <v>0.63027806385169927</v>
      </c>
    </row>
    <row r="221" spans="1:15" x14ac:dyDescent="0.3">
      <c r="A221" s="3" t="s">
        <v>426</v>
      </c>
      <c r="B221" t="str">
        <f t="shared" ca="1" si="16"/>
        <v>Mr. Amit Das</v>
      </c>
      <c r="C221">
        <f t="shared" ca="1" si="17"/>
        <v>33</v>
      </c>
      <c r="D221" t="str">
        <f t="shared" si="18"/>
        <v>Male</v>
      </c>
      <c r="E221">
        <f t="shared" ca="1" si="19"/>
        <v>1713397</v>
      </c>
      <c r="F221">
        <f t="shared" ca="1" si="20"/>
        <v>2134470</v>
      </c>
      <c r="G221">
        <f t="shared" ca="1" si="21"/>
        <v>36</v>
      </c>
      <c r="H221">
        <f t="shared" ca="1" si="22"/>
        <v>859</v>
      </c>
      <c r="I221" t="str">
        <f t="shared" ca="1" si="23"/>
        <v>Contract-Based</v>
      </c>
      <c r="J221" t="str">
        <f t="shared" ca="1" si="24"/>
        <v>Business</v>
      </c>
      <c r="K221" t="str">
        <f t="shared" ca="1" si="25"/>
        <v>Approved</v>
      </c>
      <c r="L221">
        <f t="shared" si="12"/>
        <v>971</v>
      </c>
      <c r="M221">
        <f t="shared" ca="1" si="13"/>
        <v>612</v>
      </c>
      <c r="N221">
        <f t="shared" ca="1" si="14"/>
        <v>292</v>
      </c>
      <c r="O221" s="2">
        <f t="shared" ca="1" si="15"/>
        <v>0.63027806385169927</v>
      </c>
    </row>
    <row r="222" spans="1:15" x14ac:dyDescent="0.3">
      <c r="A222" s="3" t="s">
        <v>427</v>
      </c>
      <c r="B222" t="str">
        <f t="shared" ca="1" si="16"/>
        <v>Mr. Amit Das</v>
      </c>
      <c r="C222">
        <f t="shared" ca="1" si="17"/>
        <v>57</v>
      </c>
      <c r="D222" t="str">
        <f t="shared" si="18"/>
        <v>Male</v>
      </c>
      <c r="E222">
        <f t="shared" ca="1" si="19"/>
        <v>1814215</v>
      </c>
      <c r="F222">
        <f t="shared" ca="1" si="20"/>
        <v>1645593</v>
      </c>
      <c r="G222">
        <f t="shared" ca="1" si="21"/>
        <v>24</v>
      </c>
      <c r="H222">
        <f t="shared" ca="1" si="22"/>
        <v>632</v>
      </c>
      <c r="I222" t="str">
        <f t="shared" ca="1" si="23"/>
        <v>Self-Employed</v>
      </c>
      <c r="J222" t="str">
        <f t="shared" ca="1" si="24"/>
        <v>Home</v>
      </c>
      <c r="K222" t="str">
        <f t="shared" ca="1" si="25"/>
        <v>Rejected</v>
      </c>
      <c r="L222">
        <f t="shared" si="12"/>
        <v>971</v>
      </c>
      <c r="M222">
        <f t="shared" ca="1" si="13"/>
        <v>612</v>
      </c>
      <c r="N222">
        <f t="shared" ca="1" si="14"/>
        <v>292</v>
      </c>
      <c r="O222" s="2">
        <f t="shared" ca="1" si="15"/>
        <v>0.63027806385169927</v>
      </c>
    </row>
    <row r="223" spans="1:15" x14ac:dyDescent="0.3">
      <c r="A223" s="3" t="s">
        <v>428</v>
      </c>
      <c r="B223" t="str">
        <f t="shared" ca="1" si="16"/>
        <v>Mr. Suresh Rao</v>
      </c>
      <c r="C223">
        <f t="shared" ca="1" si="17"/>
        <v>52</v>
      </c>
      <c r="D223" t="str">
        <f t="shared" si="18"/>
        <v>Male</v>
      </c>
      <c r="E223">
        <f t="shared" ca="1" si="19"/>
        <v>1140928</v>
      </c>
      <c r="F223">
        <f t="shared" ca="1" si="20"/>
        <v>1304133</v>
      </c>
      <c r="G223">
        <f t="shared" ca="1" si="21"/>
        <v>48</v>
      </c>
      <c r="H223">
        <f t="shared" ca="1" si="22"/>
        <v>680</v>
      </c>
      <c r="I223" t="str">
        <f t="shared" ca="1" si="23"/>
        <v>Freelancer</v>
      </c>
      <c r="J223" t="str">
        <f t="shared" ca="1" si="24"/>
        <v>Business</v>
      </c>
      <c r="K223" t="str">
        <f t="shared" ca="1" si="25"/>
        <v>Approved</v>
      </c>
      <c r="L223">
        <f t="shared" si="12"/>
        <v>971</v>
      </c>
      <c r="M223">
        <f t="shared" ca="1" si="13"/>
        <v>612</v>
      </c>
      <c r="N223">
        <f t="shared" ca="1" si="14"/>
        <v>292</v>
      </c>
      <c r="O223" s="2">
        <f t="shared" ca="1" si="15"/>
        <v>0.63027806385169927</v>
      </c>
    </row>
    <row r="224" spans="1:15" x14ac:dyDescent="0.3">
      <c r="A224" s="3" t="s">
        <v>429</v>
      </c>
      <c r="B224" t="str">
        <f t="shared" ca="1" si="16"/>
        <v>Ms. Anjali Singh</v>
      </c>
      <c r="C224">
        <f t="shared" ca="1" si="17"/>
        <v>21</v>
      </c>
      <c r="D224" t="str">
        <f t="shared" si="18"/>
        <v>Female</v>
      </c>
      <c r="E224">
        <f t="shared" ca="1" si="19"/>
        <v>1856353</v>
      </c>
      <c r="F224">
        <f t="shared" ca="1" si="20"/>
        <v>1877676</v>
      </c>
      <c r="G224">
        <f t="shared" ca="1" si="21"/>
        <v>24</v>
      </c>
      <c r="H224">
        <f t="shared" ca="1" si="22"/>
        <v>889</v>
      </c>
      <c r="I224" t="str">
        <f t="shared" ca="1" si="23"/>
        <v>Freelancer</v>
      </c>
      <c r="J224" t="str">
        <f t="shared" ca="1" si="24"/>
        <v>Education</v>
      </c>
      <c r="K224" t="str">
        <f t="shared" ca="1" si="25"/>
        <v>Approved</v>
      </c>
      <c r="L224">
        <f t="shared" si="12"/>
        <v>971</v>
      </c>
      <c r="M224">
        <f t="shared" ca="1" si="13"/>
        <v>612</v>
      </c>
      <c r="N224">
        <f t="shared" ca="1" si="14"/>
        <v>292</v>
      </c>
      <c r="O224" s="2">
        <f t="shared" ca="1" si="15"/>
        <v>0.63027806385169927</v>
      </c>
    </row>
    <row r="225" spans="1:15" x14ac:dyDescent="0.3">
      <c r="A225" s="3" t="s">
        <v>430</v>
      </c>
      <c r="B225" t="str">
        <f t="shared" ca="1" si="16"/>
        <v>Ms. Priya Sharma</v>
      </c>
      <c r="C225">
        <f t="shared" ca="1" si="17"/>
        <v>56</v>
      </c>
      <c r="D225" t="str">
        <f t="shared" si="18"/>
        <v>Female</v>
      </c>
      <c r="E225">
        <f t="shared" ca="1" si="19"/>
        <v>1226941</v>
      </c>
      <c r="F225">
        <f t="shared" ca="1" si="20"/>
        <v>756027</v>
      </c>
      <c r="G225">
        <f t="shared" ca="1" si="21"/>
        <v>24</v>
      </c>
      <c r="H225">
        <f t="shared" ca="1" si="22"/>
        <v>430</v>
      </c>
      <c r="I225" t="str">
        <f t="shared" ca="1" si="23"/>
        <v>Self-Employed</v>
      </c>
      <c r="J225" t="str">
        <f t="shared" ca="1" si="24"/>
        <v>Home</v>
      </c>
      <c r="K225" t="str">
        <f t="shared" ca="1" si="25"/>
        <v>Approved</v>
      </c>
      <c r="L225">
        <f t="shared" si="12"/>
        <v>971</v>
      </c>
      <c r="M225">
        <f t="shared" ca="1" si="13"/>
        <v>612</v>
      </c>
      <c r="N225">
        <f t="shared" ca="1" si="14"/>
        <v>292</v>
      </c>
      <c r="O225" s="2">
        <f t="shared" ca="1" si="15"/>
        <v>0.63027806385169927</v>
      </c>
    </row>
    <row r="226" spans="1:15" x14ac:dyDescent="0.3">
      <c r="A226" s="3" t="s">
        <v>431</v>
      </c>
      <c r="B226" t="str">
        <f t="shared" ca="1" si="16"/>
        <v>Mr. Amit Das</v>
      </c>
      <c r="C226">
        <f t="shared" ca="1" si="17"/>
        <v>53</v>
      </c>
      <c r="D226" t="str">
        <f t="shared" si="18"/>
        <v>Male</v>
      </c>
      <c r="E226">
        <f t="shared" ca="1" si="19"/>
        <v>867340</v>
      </c>
      <c r="F226">
        <f t="shared" ca="1" si="20"/>
        <v>2121486</v>
      </c>
      <c r="G226">
        <f t="shared" ca="1" si="21"/>
        <v>36</v>
      </c>
      <c r="H226">
        <f t="shared" ca="1" si="22"/>
        <v>412</v>
      </c>
      <c r="I226" t="str">
        <f t="shared" ca="1" si="23"/>
        <v>Contract-Based</v>
      </c>
      <c r="J226" t="str">
        <f t="shared" ca="1" si="24"/>
        <v>Home</v>
      </c>
      <c r="K226" t="str">
        <f t="shared" ca="1" si="25"/>
        <v>Approved</v>
      </c>
      <c r="L226">
        <f t="shared" si="12"/>
        <v>971</v>
      </c>
      <c r="M226">
        <f t="shared" ca="1" si="13"/>
        <v>612</v>
      </c>
      <c r="N226">
        <f t="shared" ca="1" si="14"/>
        <v>292</v>
      </c>
      <c r="O226" s="2">
        <f t="shared" ca="1" si="15"/>
        <v>0.63027806385169927</v>
      </c>
    </row>
    <row r="227" spans="1:15" x14ac:dyDescent="0.3">
      <c r="A227" s="3" t="s">
        <v>432</v>
      </c>
      <c r="B227" t="str">
        <f t="shared" ca="1" si="16"/>
        <v>Mr. Rohan Gupta</v>
      </c>
      <c r="C227">
        <f t="shared" ca="1" si="17"/>
        <v>53</v>
      </c>
      <c r="D227" t="str">
        <f t="shared" si="18"/>
        <v>Female</v>
      </c>
      <c r="E227">
        <f t="shared" ca="1" si="19"/>
        <v>1781711</v>
      </c>
      <c r="F227">
        <f t="shared" ca="1" si="20"/>
        <v>1015899</v>
      </c>
      <c r="G227">
        <f t="shared" ca="1" si="21"/>
        <v>48</v>
      </c>
      <c r="H227">
        <f t="shared" ca="1" si="22"/>
        <v>649</v>
      </c>
      <c r="I227" t="str">
        <f t="shared" ca="1" si="23"/>
        <v>Student</v>
      </c>
      <c r="J227" t="str">
        <f t="shared" ca="1" si="24"/>
        <v>Car</v>
      </c>
      <c r="K227" t="str">
        <f t="shared" ca="1" si="25"/>
        <v>Approved</v>
      </c>
      <c r="L227">
        <f t="shared" si="12"/>
        <v>971</v>
      </c>
      <c r="M227">
        <f t="shared" ca="1" si="13"/>
        <v>612</v>
      </c>
      <c r="N227">
        <f t="shared" ca="1" si="14"/>
        <v>292</v>
      </c>
      <c r="O227" s="2">
        <f t="shared" ca="1" si="15"/>
        <v>0.63027806385169927</v>
      </c>
    </row>
    <row r="228" spans="1:15" x14ac:dyDescent="0.3">
      <c r="A228" s="3" t="s">
        <v>433</v>
      </c>
      <c r="B228" t="str">
        <f t="shared" ca="1" si="16"/>
        <v>Ms. Kajal Yadav</v>
      </c>
      <c r="C228">
        <f t="shared" ca="1" si="17"/>
        <v>58</v>
      </c>
      <c r="D228" t="str">
        <f t="shared" si="18"/>
        <v>Female</v>
      </c>
      <c r="E228">
        <f t="shared" ca="1" si="19"/>
        <v>1092321</v>
      </c>
      <c r="F228">
        <f t="shared" ca="1" si="20"/>
        <v>2230730</v>
      </c>
      <c r="G228">
        <f t="shared" ca="1" si="21"/>
        <v>36</v>
      </c>
      <c r="H228">
        <f t="shared" ca="1" si="22"/>
        <v>783</v>
      </c>
      <c r="I228" t="str">
        <f t="shared" ca="1" si="23"/>
        <v>Contract-Based</v>
      </c>
      <c r="J228" t="str">
        <f t="shared" ca="1" si="24"/>
        <v>Personal</v>
      </c>
      <c r="K228" t="str">
        <f t="shared" ca="1" si="25"/>
        <v>Approved</v>
      </c>
      <c r="L228">
        <f t="shared" si="12"/>
        <v>971</v>
      </c>
      <c r="M228">
        <f t="shared" ca="1" si="13"/>
        <v>612</v>
      </c>
      <c r="N228">
        <f t="shared" ca="1" si="14"/>
        <v>292</v>
      </c>
      <c r="O228" s="2">
        <f t="shared" ca="1" si="15"/>
        <v>0.63027806385169927</v>
      </c>
    </row>
    <row r="229" spans="1:15" x14ac:dyDescent="0.3">
      <c r="A229" s="3" t="s">
        <v>434</v>
      </c>
      <c r="B229" t="str">
        <f t="shared" ca="1" si="16"/>
        <v>Mr. Amit Das</v>
      </c>
      <c r="C229">
        <f t="shared" ca="1" si="17"/>
        <v>39</v>
      </c>
      <c r="D229" t="str">
        <f t="shared" si="18"/>
        <v>Male</v>
      </c>
      <c r="E229">
        <f t="shared" ca="1" si="19"/>
        <v>1111066</v>
      </c>
      <c r="F229">
        <f t="shared" ca="1" si="20"/>
        <v>1763249</v>
      </c>
      <c r="G229">
        <f t="shared" ca="1" si="21"/>
        <v>72</v>
      </c>
      <c r="H229">
        <f t="shared" ca="1" si="22"/>
        <v>802</v>
      </c>
      <c r="I229" t="str">
        <f t="shared" ca="1" si="23"/>
        <v>Student</v>
      </c>
      <c r="J229" t="str">
        <f t="shared" ca="1" si="24"/>
        <v>Education</v>
      </c>
      <c r="K229" t="str">
        <f t="shared" ca="1" si="25"/>
        <v>Approved</v>
      </c>
      <c r="L229">
        <f t="shared" si="12"/>
        <v>971</v>
      </c>
      <c r="M229">
        <f t="shared" ca="1" si="13"/>
        <v>612</v>
      </c>
      <c r="N229">
        <f t="shared" ca="1" si="14"/>
        <v>292</v>
      </c>
      <c r="O229" s="2">
        <f t="shared" ca="1" si="15"/>
        <v>0.63027806385169927</v>
      </c>
    </row>
    <row r="230" spans="1:15" x14ac:dyDescent="0.3">
      <c r="A230" s="3" t="s">
        <v>435</v>
      </c>
      <c r="B230" t="str">
        <f t="shared" ca="1" si="16"/>
        <v>Ms. Priya Sharma</v>
      </c>
      <c r="C230">
        <f t="shared" ca="1" si="17"/>
        <v>34</v>
      </c>
      <c r="D230" t="str">
        <f t="shared" si="18"/>
        <v>Male</v>
      </c>
      <c r="E230">
        <f t="shared" ca="1" si="19"/>
        <v>1800417</v>
      </c>
      <c r="F230">
        <f t="shared" ca="1" si="20"/>
        <v>318110</v>
      </c>
      <c r="G230">
        <f t="shared" ca="1" si="21"/>
        <v>84</v>
      </c>
      <c r="H230">
        <f t="shared" ca="1" si="22"/>
        <v>750</v>
      </c>
      <c r="I230" t="str">
        <f t="shared" ca="1" si="23"/>
        <v>Freelancer</v>
      </c>
      <c r="J230" t="str">
        <f t="shared" ca="1" si="24"/>
        <v>Personal</v>
      </c>
      <c r="K230" t="str">
        <f t="shared" ca="1" si="25"/>
        <v>Approved</v>
      </c>
      <c r="L230">
        <f t="shared" si="12"/>
        <v>971</v>
      </c>
      <c r="M230">
        <f t="shared" ca="1" si="13"/>
        <v>612</v>
      </c>
      <c r="N230">
        <f t="shared" ca="1" si="14"/>
        <v>292</v>
      </c>
      <c r="O230" s="2">
        <f t="shared" ca="1" si="15"/>
        <v>0.63027806385169927</v>
      </c>
    </row>
    <row r="231" spans="1:15" x14ac:dyDescent="0.3">
      <c r="A231" s="3" t="s">
        <v>436</v>
      </c>
      <c r="B231" t="str">
        <f t="shared" ca="1" si="16"/>
        <v>Ms. Kajal Yadav</v>
      </c>
      <c r="C231">
        <f t="shared" ca="1" si="17"/>
        <v>55</v>
      </c>
      <c r="D231" t="str">
        <f t="shared" si="18"/>
        <v>Male</v>
      </c>
      <c r="E231">
        <f t="shared" ca="1" si="19"/>
        <v>1629108</v>
      </c>
      <c r="F231">
        <f t="shared" ca="1" si="20"/>
        <v>1173930</v>
      </c>
      <c r="G231">
        <f t="shared" ca="1" si="21"/>
        <v>36</v>
      </c>
      <c r="H231">
        <f t="shared" ca="1" si="22"/>
        <v>684</v>
      </c>
      <c r="I231" t="str">
        <f t="shared" ca="1" si="23"/>
        <v>Student</v>
      </c>
      <c r="J231" t="str">
        <f t="shared" ca="1" si="24"/>
        <v>Education</v>
      </c>
      <c r="K231" t="str">
        <f t="shared" ca="1" si="25"/>
        <v>Approved</v>
      </c>
      <c r="L231">
        <f t="shared" si="12"/>
        <v>971</v>
      </c>
      <c r="M231">
        <f t="shared" ca="1" si="13"/>
        <v>612</v>
      </c>
      <c r="N231">
        <f t="shared" ca="1" si="14"/>
        <v>292</v>
      </c>
      <c r="O231" s="2">
        <f t="shared" ca="1" si="15"/>
        <v>0.63027806385169927</v>
      </c>
    </row>
    <row r="232" spans="1:15" x14ac:dyDescent="0.3">
      <c r="A232" s="3" t="s">
        <v>437</v>
      </c>
      <c r="B232" t="str">
        <f t="shared" ca="1" si="16"/>
        <v>Ms. Kajal Yadav</v>
      </c>
      <c r="C232">
        <f t="shared" ca="1" si="17"/>
        <v>60</v>
      </c>
      <c r="D232" t="str">
        <f t="shared" si="18"/>
        <v>Female</v>
      </c>
      <c r="E232">
        <f t="shared" ca="1" si="19"/>
        <v>654002</v>
      </c>
      <c r="F232">
        <f t="shared" ca="1" si="20"/>
        <v>1814821</v>
      </c>
      <c r="G232">
        <f t="shared" ca="1" si="21"/>
        <v>24</v>
      </c>
      <c r="H232">
        <f t="shared" ca="1" si="22"/>
        <v>780</v>
      </c>
      <c r="I232" t="str">
        <f t="shared" ca="1" si="23"/>
        <v>Contract-Based</v>
      </c>
      <c r="J232" t="str">
        <f t="shared" ca="1" si="24"/>
        <v>Education</v>
      </c>
      <c r="K232" t="str">
        <f t="shared" ca="1" si="25"/>
        <v>Approved</v>
      </c>
      <c r="L232">
        <f t="shared" si="12"/>
        <v>971</v>
      </c>
      <c r="M232">
        <f t="shared" ca="1" si="13"/>
        <v>612</v>
      </c>
      <c r="N232">
        <f t="shared" ca="1" si="14"/>
        <v>292</v>
      </c>
      <c r="O232" s="2">
        <f t="shared" ca="1" si="15"/>
        <v>0.63027806385169927</v>
      </c>
    </row>
    <row r="233" spans="1:15" x14ac:dyDescent="0.3">
      <c r="A233" s="3" t="s">
        <v>438</v>
      </c>
      <c r="B233" t="str">
        <f t="shared" ca="1" si="16"/>
        <v>Ms. Priya Sharma</v>
      </c>
      <c r="C233">
        <f t="shared" ca="1" si="17"/>
        <v>47</v>
      </c>
      <c r="D233" t="str">
        <f t="shared" si="18"/>
        <v>Female</v>
      </c>
      <c r="E233">
        <f t="shared" ca="1" si="19"/>
        <v>1516055</v>
      </c>
      <c r="F233">
        <f t="shared" ca="1" si="20"/>
        <v>2290481</v>
      </c>
      <c r="G233">
        <f t="shared" ca="1" si="21"/>
        <v>60</v>
      </c>
      <c r="H233">
        <f t="shared" ca="1" si="22"/>
        <v>854</v>
      </c>
      <c r="I233" t="str">
        <f t="shared" ca="1" si="23"/>
        <v>Salaried</v>
      </c>
      <c r="J233" t="str">
        <f t="shared" ca="1" si="24"/>
        <v>Car</v>
      </c>
      <c r="K233" t="str">
        <f t="shared" ca="1" si="25"/>
        <v>Rejected</v>
      </c>
      <c r="L233">
        <f t="shared" si="12"/>
        <v>971</v>
      </c>
      <c r="M233">
        <f t="shared" ca="1" si="13"/>
        <v>612</v>
      </c>
      <c r="N233">
        <f t="shared" ca="1" si="14"/>
        <v>292</v>
      </c>
      <c r="O233" s="2">
        <f t="shared" ca="1" si="15"/>
        <v>0.63027806385169927</v>
      </c>
    </row>
    <row r="234" spans="1:15" x14ac:dyDescent="0.3">
      <c r="A234" s="3" t="s">
        <v>439</v>
      </c>
      <c r="B234" t="str">
        <f t="shared" ca="1" si="16"/>
        <v>Ms. Neha Verma</v>
      </c>
      <c r="C234">
        <f t="shared" ca="1" si="17"/>
        <v>33</v>
      </c>
      <c r="D234" t="str">
        <f t="shared" si="18"/>
        <v>Female</v>
      </c>
      <c r="E234">
        <f t="shared" ca="1" si="19"/>
        <v>1316086</v>
      </c>
      <c r="F234">
        <f t="shared" ca="1" si="20"/>
        <v>482701</v>
      </c>
      <c r="G234">
        <f t="shared" ca="1" si="21"/>
        <v>24</v>
      </c>
      <c r="H234">
        <f t="shared" ca="1" si="22"/>
        <v>874</v>
      </c>
      <c r="I234" t="str">
        <f t="shared" ca="1" si="23"/>
        <v>Contract-Based</v>
      </c>
      <c r="J234" t="str">
        <f t="shared" ca="1" si="24"/>
        <v>Business</v>
      </c>
      <c r="K234" t="str">
        <f t="shared" ca="1" si="25"/>
        <v>Approved</v>
      </c>
      <c r="L234">
        <f t="shared" si="12"/>
        <v>971</v>
      </c>
      <c r="M234">
        <f t="shared" ca="1" si="13"/>
        <v>612</v>
      </c>
      <c r="N234">
        <f t="shared" ca="1" si="14"/>
        <v>292</v>
      </c>
      <c r="O234" s="2">
        <f t="shared" ca="1" si="15"/>
        <v>0.63027806385169927</v>
      </c>
    </row>
    <row r="235" spans="1:15" x14ac:dyDescent="0.3">
      <c r="A235" s="3" t="s">
        <v>440</v>
      </c>
      <c r="B235" t="str">
        <f t="shared" ca="1" si="16"/>
        <v>Mr. Rohan Gupta</v>
      </c>
      <c r="C235">
        <f t="shared" ca="1" si="17"/>
        <v>35</v>
      </c>
      <c r="D235" t="str">
        <f t="shared" si="18"/>
        <v>Female</v>
      </c>
      <c r="E235">
        <f t="shared" ca="1" si="19"/>
        <v>1947108</v>
      </c>
      <c r="F235">
        <f t="shared" ca="1" si="20"/>
        <v>942021</v>
      </c>
      <c r="G235">
        <f t="shared" ca="1" si="21"/>
        <v>48</v>
      </c>
      <c r="H235">
        <f t="shared" ca="1" si="22"/>
        <v>558</v>
      </c>
      <c r="I235" t="str">
        <f t="shared" ca="1" si="23"/>
        <v>Student</v>
      </c>
      <c r="J235" t="str">
        <f t="shared" ca="1" si="24"/>
        <v>Personal</v>
      </c>
      <c r="K235" t="str">
        <f t="shared" ca="1" si="25"/>
        <v>Approved</v>
      </c>
      <c r="L235">
        <f t="shared" si="12"/>
        <v>971</v>
      </c>
      <c r="M235">
        <f t="shared" ca="1" si="13"/>
        <v>612</v>
      </c>
      <c r="N235">
        <f t="shared" ca="1" si="14"/>
        <v>292</v>
      </c>
      <c r="O235" s="2">
        <f t="shared" ca="1" si="15"/>
        <v>0.63027806385169927</v>
      </c>
    </row>
    <row r="236" spans="1:15" x14ac:dyDescent="0.3">
      <c r="A236" s="3" t="s">
        <v>441</v>
      </c>
      <c r="B236" t="str">
        <f t="shared" ca="1" si="16"/>
        <v>Ms. Pooja Patel</v>
      </c>
      <c r="C236">
        <f t="shared" ca="1" si="17"/>
        <v>55</v>
      </c>
      <c r="D236" t="str">
        <f t="shared" si="18"/>
        <v>Male</v>
      </c>
      <c r="E236">
        <f t="shared" ca="1" si="19"/>
        <v>474070</v>
      </c>
      <c r="F236">
        <f t="shared" ca="1" si="20"/>
        <v>1372000</v>
      </c>
      <c r="G236">
        <f t="shared" ca="1" si="21"/>
        <v>84</v>
      </c>
      <c r="H236">
        <f t="shared" ca="1" si="22"/>
        <v>348</v>
      </c>
      <c r="I236" t="str">
        <f t="shared" ca="1" si="23"/>
        <v>Contract-Based</v>
      </c>
      <c r="J236" t="str">
        <f t="shared" ca="1" si="24"/>
        <v>Car</v>
      </c>
      <c r="K236" t="str">
        <f t="shared" ca="1" si="25"/>
        <v>Approved</v>
      </c>
      <c r="L236">
        <f t="shared" si="12"/>
        <v>971</v>
      </c>
      <c r="M236">
        <f t="shared" ca="1" si="13"/>
        <v>612</v>
      </c>
      <c r="N236">
        <f t="shared" ca="1" si="14"/>
        <v>292</v>
      </c>
      <c r="O236" s="2">
        <f t="shared" ca="1" si="15"/>
        <v>0.63027806385169927</v>
      </c>
    </row>
    <row r="237" spans="1:15" x14ac:dyDescent="0.3">
      <c r="A237" s="3" t="s">
        <v>442</v>
      </c>
      <c r="B237" t="str">
        <f t="shared" ca="1" si="16"/>
        <v>Mr. Amit Das</v>
      </c>
      <c r="C237">
        <f t="shared" ca="1" si="17"/>
        <v>56</v>
      </c>
      <c r="D237" t="str">
        <f t="shared" si="18"/>
        <v>Male</v>
      </c>
      <c r="E237">
        <f t="shared" ca="1" si="19"/>
        <v>688161</v>
      </c>
      <c r="F237">
        <f t="shared" ca="1" si="20"/>
        <v>950095</v>
      </c>
      <c r="G237">
        <f t="shared" ca="1" si="21"/>
        <v>72</v>
      </c>
      <c r="H237">
        <f t="shared" ca="1" si="22"/>
        <v>600</v>
      </c>
      <c r="I237" t="str">
        <f t="shared" ca="1" si="23"/>
        <v>Student</v>
      </c>
      <c r="J237" t="str">
        <f t="shared" ca="1" si="24"/>
        <v>Business</v>
      </c>
      <c r="K237" t="str">
        <f t="shared" ca="1" si="25"/>
        <v>Approved</v>
      </c>
      <c r="L237">
        <f t="shared" si="12"/>
        <v>971</v>
      </c>
      <c r="M237">
        <f t="shared" ca="1" si="13"/>
        <v>612</v>
      </c>
      <c r="N237">
        <f t="shared" ca="1" si="14"/>
        <v>292</v>
      </c>
      <c r="O237" s="2">
        <f t="shared" ca="1" si="15"/>
        <v>0.63027806385169927</v>
      </c>
    </row>
    <row r="238" spans="1:15" x14ac:dyDescent="0.3">
      <c r="A238" s="3" t="s">
        <v>443</v>
      </c>
      <c r="B238" t="str">
        <f t="shared" ca="1" si="16"/>
        <v>Mr. Suresh Rao</v>
      </c>
      <c r="C238">
        <f t="shared" ca="1" si="17"/>
        <v>32</v>
      </c>
      <c r="D238" t="str">
        <f t="shared" si="18"/>
        <v>Male</v>
      </c>
      <c r="E238">
        <f t="shared" ca="1" si="19"/>
        <v>1968795</v>
      </c>
      <c r="F238">
        <f t="shared" ca="1" si="20"/>
        <v>1584304</v>
      </c>
      <c r="G238">
        <f t="shared" ca="1" si="21"/>
        <v>72</v>
      </c>
      <c r="H238">
        <f t="shared" ca="1" si="22"/>
        <v>753</v>
      </c>
      <c r="I238" t="str">
        <f t="shared" ca="1" si="23"/>
        <v>Student</v>
      </c>
      <c r="J238" t="str">
        <f t="shared" ca="1" si="24"/>
        <v>Car</v>
      </c>
      <c r="K238" t="str">
        <f t="shared" ca="1" si="25"/>
        <v>Rejected</v>
      </c>
      <c r="L238">
        <f t="shared" si="12"/>
        <v>971</v>
      </c>
      <c r="M238">
        <f t="shared" ca="1" si="13"/>
        <v>612</v>
      </c>
      <c r="N238">
        <f t="shared" ca="1" si="14"/>
        <v>292</v>
      </c>
      <c r="O238" s="2">
        <f t="shared" ca="1" si="15"/>
        <v>0.63027806385169927</v>
      </c>
    </row>
    <row r="239" spans="1:15" x14ac:dyDescent="0.3">
      <c r="A239" s="3" t="s">
        <v>444</v>
      </c>
      <c r="B239" t="str">
        <f t="shared" ca="1" si="16"/>
        <v>Ms. Kajal Yadav</v>
      </c>
      <c r="C239">
        <f t="shared" ca="1" si="17"/>
        <v>39</v>
      </c>
      <c r="D239" t="str">
        <f t="shared" si="18"/>
        <v>Female</v>
      </c>
      <c r="E239">
        <f t="shared" ca="1" si="19"/>
        <v>1861073</v>
      </c>
      <c r="F239">
        <f t="shared" ca="1" si="20"/>
        <v>1998396</v>
      </c>
      <c r="G239">
        <f t="shared" ca="1" si="21"/>
        <v>72</v>
      </c>
      <c r="H239">
        <f t="shared" ca="1" si="22"/>
        <v>346</v>
      </c>
      <c r="I239" t="str">
        <f t="shared" ca="1" si="23"/>
        <v>Self-Employed</v>
      </c>
      <c r="J239" t="str">
        <f t="shared" ca="1" si="24"/>
        <v>Car</v>
      </c>
      <c r="K239" t="str">
        <f t="shared" ca="1" si="25"/>
        <v>Rejected</v>
      </c>
      <c r="L239">
        <f t="shared" si="12"/>
        <v>971</v>
      </c>
      <c r="M239">
        <f t="shared" ca="1" si="13"/>
        <v>612</v>
      </c>
      <c r="N239">
        <f t="shared" ca="1" si="14"/>
        <v>292</v>
      </c>
      <c r="O239" s="2">
        <f t="shared" ca="1" si="15"/>
        <v>0.63027806385169927</v>
      </c>
    </row>
    <row r="240" spans="1:15" x14ac:dyDescent="0.3">
      <c r="A240" s="3" t="s">
        <v>445</v>
      </c>
      <c r="B240" t="str">
        <f t="shared" ca="1" si="16"/>
        <v>Mr. Arun Kumar</v>
      </c>
      <c r="C240">
        <f t="shared" ca="1" si="17"/>
        <v>49</v>
      </c>
      <c r="D240" t="str">
        <f t="shared" si="18"/>
        <v>Male</v>
      </c>
      <c r="E240">
        <f t="shared" ca="1" si="19"/>
        <v>1221873</v>
      </c>
      <c r="F240">
        <f t="shared" ca="1" si="20"/>
        <v>897084</v>
      </c>
      <c r="G240">
        <f t="shared" ca="1" si="21"/>
        <v>12</v>
      </c>
      <c r="H240">
        <f t="shared" ca="1" si="22"/>
        <v>540</v>
      </c>
      <c r="I240" t="str">
        <f t="shared" ca="1" si="23"/>
        <v>Contract-Based</v>
      </c>
      <c r="J240" t="str">
        <f t="shared" ca="1" si="24"/>
        <v>Education</v>
      </c>
      <c r="K240" t="str">
        <f t="shared" ca="1" si="25"/>
        <v>Approved</v>
      </c>
      <c r="L240">
        <f t="shared" si="12"/>
        <v>971</v>
      </c>
      <c r="M240">
        <f t="shared" ca="1" si="13"/>
        <v>612</v>
      </c>
      <c r="N240">
        <f t="shared" ca="1" si="14"/>
        <v>292</v>
      </c>
      <c r="O240" s="2">
        <f t="shared" ca="1" si="15"/>
        <v>0.63027806385169927</v>
      </c>
    </row>
    <row r="241" spans="1:15" x14ac:dyDescent="0.3">
      <c r="A241" s="3" t="s">
        <v>446</v>
      </c>
      <c r="B241" t="str">
        <f t="shared" ca="1" si="16"/>
        <v>Mr. Rohan Gupta</v>
      </c>
      <c r="C241">
        <f t="shared" ca="1" si="17"/>
        <v>54</v>
      </c>
      <c r="D241" t="str">
        <f t="shared" si="18"/>
        <v>Male</v>
      </c>
      <c r="E241">
        <f t="shared" ca="1" si="19"/>
        <v>1743778</v>
      </c>
      <c r="F241">
        <f t="shared" ca="1" si="20"/>
        <v>120845</v>
      </c>
      <c r="G241">
        <f t="shared" ca="1" si="21"/>
        <v>48</v>
      </c>
      <c r="H241">
        <f t="shared" ca="1" si="22"/>
        <v>310</v>
      </c>
      <c r="I241" t="str">
        <f t="shared" ca="1" si="23"/>
        <v>Salaried</v>
      </c>
      <c r="J241" t="str">
        <f t="shared" ca="1" si="24"/>
        <v>Personal</v>
      </c>
      <c r="K241" t="str">
        <f t="shared" ca="1" si="25"/>
        <v>Approved</v>
      </c>
      <c r="L241">
        <f t="shared" si="12"/>
        <v>971</v>
      </c>
      <c r="M241">
        <f t="shared" ca="1" si="13"/>
        <v>612</v>
      </c>
      <c r="N241">
        <f t="shared" ca="1" si="14"/>
        <v>292</v>
      </c>
      <c r="O241" s="2">
        <f t="shared" ca="1" si="15"/>
        <v>0.63027806385169927</v>
      </c>
    </row>
    <row r="242" spans="1:15" x14ac:dyDescent="0.3">
      <c r="A242" s="3" t="s">
        <v>447</v>
      </c>
      <c r="B242" t="str">
        <f t="shared" ca="1" si="16"/>
        <v>Mr. Rohan Gupta</v>
      </c>
      <c r="C242">
        <f t="shared" ca="1" si="17"/>
        <v>24</v>
      </c>
      <c r="D242" t="str">
        <f t="shared" si="18"/>
        <v>Male</v>
      </c>
      <c r="E242">
        <f t="shared" ca="1" si="19"/>
        <v>974062</v>
      </c>
      <c r="F242">
        <f t="shared" ca="1" si="20"/>
        <v>688435</v>
      </c>
      <c r="G242">
        <f t="shared" ca="1" si="21"/>
        <v>24</v>
      </c>
      <c r="H242">
        <f t="shared" ca="1" si="22"/>
        <v>757</v>
      </c>
      <c r="I242" t="str">
        <f t="shared" ca="1" si="23"/>
        <v>Business</v>
      </c>
      <c r="J242" t="str">
        <f t="shared" ca="1" si="24"/>
        <v>Education</v>
      </c>
      <c r="K242" t="str">
        <f t="shared" ca="1" si="25"/>
        <v>Approved</v>
      </c>
      <c r="L242">
        <f t="shared" si="12"/>
        <v>971</v>
      </c>
      <c r="M242">
        <f t="shared" ca="1" si="13"/>
        <v>612</v>
      </c>
      <c r="N242">
        <f t="shared" ca="1" si="14"/>
        <v>292</v>
      </c>
      <c r="O242" s="2">
        <f t="shared" ca="1" si="15"/>
        <v>0.63027806385169927</v>
      </c>
    </row>
    <row r="243" spans="1:15" x14ac:dyDescent="0.3">
      <c r="A243" s="3" t="s">
        <v>448</v>
      </c>
      <c r="B243" t="str">
        <f t="shared" ca="1" si="16"/>
        <v>Mr. Amit Das</v>
      </c>
      <c r="C243">
        <f t="shared" ca="1" si="17"/>
        <v>56</v>
      </c>
      <c r="D243" t="str">
        <f t="shared" si="18"/>
        <v>Male</v>
      </c>
      <c r="E243">
        <f t="shared" ca="1" si="19"/>
        <v>1454522</v>
      </c>
      <c r="F243">
        <f t="shared" ca="1" si="20"/>
        <v>1720678</v>
      </c>
      <c r="G243">
        <f t="shared" ca="1" si="21"/>
        <v>36</v>
      </c>
      <c r="H243">
        <f t="shared" ca="1" si="22"/>
        <v>792</v>
      </c>
      <c r="I243" t="str">
        <f t="shared" ca="1" si="23"/>
        <v>Student</v>
      </c>
      <c r="J243" t="str">
        <f t="shared" ca="1" si="24"/>
        <v>Education</v>
      </c>
      <c r="K243" t="str">
        <f t="shared" ca="1" si="25"/>
        <v>Rejected</v>
      </c>
      <c r="L243">
        <f t="shared" si="12"/>
        <v>971</v>
      </c>
      <c r="M243">
        <f t="shared" ca="1" si="13"/>
        <v>612</v>
      </c>
      <c r="N243">
        <f t="shared" ca="1" si="14"/>
        <v>292</v>
      </c>
      <c r="O243" s="2">
        <f t="shared" ca="1" si="15"/>
        <v>0.63027806385169927</v>
      </c>
    </row>
    <row r="244" spans="1:15" x14ac:dyDescent="0.3">
      <c r="A244" s="3" t="s">
        <v>449</v>
      </c>
      <c r="B244" t="str">
        <f t="shared" ca="1" si="16"/>
        <v>Ms. Kajal Yadav</v>
      </c>
      <c r="C244">
        <f t="shared" ca="1" si="17"/>
        <v>43</v>
      </c>
      <c r="D244" t="str">
        <f t="shared" si="18"/>
        <v>Female</v>
      </c>
      <c r="E244">
        <f t="shared" ca="1" si="19"/>
        <v>341178</v>
      </c>
      <c r="F244">
        <f t="shared" ca="1" si="20"/>
        <v>1428600</v>
      </c>
      <c r="G244">
        <f t="shared" ca="1" si="21"/>
        <v>60</v>
      </c>
      <c r="H244">
        <f t="shared" ca="1" si="22"/>
        <v>741</v>
      </c>
      <c r="I244" t="str">
        <f t="shared" ca="1" si="23"/>
        <v>Student</v>
      </c>
      <c r="J244" t="str">
        <f t="shared" ca="1" si="24"/>
        <v>Education</v>
      </c>
      <c r="K244" t="str">
        <f t="shared" ca="1" si="25"/>
        <v>Rejected</v>
      </c>
      <c r="L244">
        <f t="shared" si="12"/>
        <v>971</v>
      </c>
      <c r="M244">
        <f t="shared" ca="1" si="13"/>
        <v>612</v>
      </c>
      <c r="N244">
        <f t="shared" ca="1" si="14"/>
        <v>292</v>
      </c>
      <c r="O244" s="2">
        <f t="shared" ca="1" si="15"/>
        <v>0.63027806385169927</v>
      </c>
    </row>
    <row r="245" spans="1:15" x14ac:dyDescent="0.3">
      <c r="A245" s="3" t="s">
        <v>450</v>
      </c>
      <c r="B245" t="str">
        <f t="shared" ca="1" si="16"/>
        <v>Mr. Rohan Gupta</v>
      </c>
      <c r="C245">
        <f t="shared" ca="1" si="17"/>
        <v>37</v>
      </c>
      <c r="D245" t="str">
        <f t="shared" si="18"/>
        <v>Female</v>
      </c>
      <c r="E245">
        <f t="shared" ca="1" si="19"/>
        <v>1845263</v>
      </c>
      <c r="F245">
        <f t="shared" ca="1" si="20"/>
        <v>1937176</v>
      </c>
      <c r="G245">
        <f t="shared" ca="1" si="21"/>
        <v>36</v>
      </c>
      <c r="H245">
        <f t="shared" ca="1" si="22"/>
        <v>383</v>
      </c>
      <c r="I245" t="str">
        <f t="shared" ca="1" si="23"/>
        <v>Salaried</v>
      </c>
      <c r="J245" t="str">
        <f t="shared" ca="1" si="24"/>
        <v>Home</v>
      </c>
      <c r="K245" t="str">
        <f t="shared" ca="1" si="25"/>
        <v>Approved</v>
      </c>
      <c r="L245">
        <f t="shared" si="12"/>
        <v>971</v>
      </c>
      <c r="M245">
        <f t="shared" ca="1" si="13"/>
        <v>612</v>
      </c>
      <c r="N245">
        <f t="shared" ca="1" si="14"/>
        <v>292</v>
      </c>
      <c r="O245" s="2">
        <f t="shared" ca="1" si="15"/>
        <v>0.63027806385169927</v>
      </c>
    </row>
    <row r="246" spans="1:15" x14ac:dyDescent="0.3">
      <c r="A246" s="3" t="s">
        <v>451</v>
      </c>
      <c r="B246" t="str">
        <f t="shared" ca="1" si="16"/>
        <v>Mr. Amit Das</v>
      </c>
      <c r="C246">
        <f t="shared" ca="1" si="17"/>
        <v>38</v>
      </c>
      <c r="D246" t="str">
        <f t="shared" si="18"/>
        <v>Male</v>
      </c>
      <c r="E246">
        <f t="shared" ca="1" si="19"/>
        <v>597229</v>
      </c>
      <c r="F246">
        <f t="shared" ca="1" si="20"/>
        <v>1860224</v>
      </c>
      <c r="G246">
        <f t="shared" ca="1" si="21"/>
        <v>36</v>
      </c>
      <c r="H246">
        <f t="shared" ca="1" si="22"/>
        <v>653</v>
      </c>
      <c r="I246" t="str">
        <f t="shared" ca="1" si="23"/>
        <v>Student</v>
      </c>
      <c r="J246" t="str">
        <f t="shared" ca="1" si="24"/>
        <v>Education</v>
      </c>
      <c r="K246" t="str">
        <f t="shared" ca="1" si="25"/>
        <v>Rejected</v>
      </c>
      <c r="L246">
        <f t="shared" si="12"/>
        <v>971</v>
      </c>
      <c r="M246">
        <f t="shared" ca="1" si="13"/>
        <v>612</v>
      </c>
      <c r="N246">
        <f t="shared" ca="1" si="14"/>
        <v>292</v>
      </c>
      <c r="O246" s="2">
        <f t="shared" ca="1" si="15"/>
        <v>0.63027806385169927</v>
      </c>
    </row>
    <row r="247" spans="1:15" x14ac:dyDescent="0.3">
      <c r="A247" s="3" t="s">
        <v>452</v>
      </c>
      <c r="B247" t="str">
        <f t="shared" ca="1" si="16"/>
        <v>Mr. Amit Das</v>
      </c>
      <c r="C247">
        <f t="shared" ca="1" si="17"/>
        <v>55</v>
      </c>
      <c r="D247" t="str">
        <f t="shared" si="18"/>
        <v>Female</v>
      </c>
      <c r="E247">
        <f t="shared" ca="1" si="19"/>
        <v>626475</v>
      </c>
      <c r="F247">
        <f t="shared" ca="1" si="20"/>
        <v>2218664</v>
      </c>
      <c r="G247">
        <f t="shared" ca="1" si="21"/>
        <v>36</v>
      </c>
      <c r="H247">
        <f t="shared" ca="1" si="22"/>
        <v>780</v>
      </c>
      <c r="I247" t="str">
        <f t="shared" ca="1" si="23"/>
        <v>Business</v>
      </c>
      <c r="J247" t="str">
        <f t="shared" ca="1" si="24"/>
        <v>Business</v>
      </c>
      <c r="K247" t="str">
        <f t="shared" ca="1" si="25"/>
        <v>Rejected</v>
      </c>
      <c r="L247">
        <f t="shared" si="12"/>
        <v>971</v>
      </c>
      <c r="M247">
        <f t="shared" ca="1" si="13"/>
        <v>612</v>
      </c>
      <c r="N247">
        <f t="shared" ca="1" si="14"/>
        <v>292</v>
      </c>
      <c r="O247" s="2">
        <f t="shared" ca="1" si="15"/>
        <v>0.63027806385169927</v>
      </c>
    </row>
    <row r="248" spans="1:15" x14ac:dyDescent="0.3">
      <c r="A248" s="3" t="s">
        <v>453</v>
      </c>
      <c r="B248" t="str">
        <f t="shared" ca="1" si="16"/>
        <v>Ms. Priya Sharma</v>
      </c>
      <c r="C248">
        <f t="shared" ca="1" si="17"/>
        <v>31</v>
      </c>
      <c r="D248" t="str">
        <f t="shared" si="18"/>
        <v>Female</v>
      </c>
      <c r="E248">
        <f t="shared" ca="1" si="19"/>
        <v>252638</v>
      </c>
      <c r="F248">
        <f t="shared" ca="1" si="20"/>
        <v>2477730</v>
      </c>
      <c r="G248">
        <f t="shared" ca="1" si="21"/>
        <v>84</v>
      </c>
      <c r="H248">
        <f t="shared" ca="1" si="22"/>
        <v>463</v>
      </c>
      <c r="I248" t="str">
        <f t="shared" ca="1" si="23"/>
        <v>Business</v>
      </c>
      <c r="J248" t="str">
        <f t="shared" ca="1" si="24"/>
        <v>Home</v>
      </c>
      <c r="K248" t="str">
        <f t="shared" ca="1" si="25"/>
        <v>Approved</v>
      </c>
      <c r="L248">
        <f t="shared" si="12"/>
        <v>971</v>
      </c>
      <c r="M248">
        <f t="shared" ca="1" si="13"/>
        <v>612</v>
      </c>
      <c r="N248">
        <f t="shared" ca="1" si="14"/>
        <v>292</v>
      </c>
      <c r="O248" s="2">
        <f t="shared" ca="1" si="15"/>
        <v>0.63027806385169927</v>
      </c>
    </row>
    <row r="249" spans="1:15" x14ac:dyDescent="0.3">
      <c r="A249" s="3" t="s">
        <v>454</v>
      </c>
      <c r="B249" t="str">
        <f t="shared" ca="1" si="16"/>
        <v>Ms. Neha Verma</v>
      </c>
      <c r="C249">
        <f t="shared" ca="1" si="17"/>
        <v>22</v>
      </c>
      <c r="D249" t="str">
        <f t="shared" si="18"/>
        <v>Male</v>
      </c>
      <c r="E249">
        <f t="shared" ca="1" si="19"/>
        <v>685696</v>
      </c>
      <c r="F249">
        <f t="shared" ca="1" si="20"/>
        <v>329330</v>
      </c>
      <c r="G249">
        <f t="shared" ca="1" si="21"/>
        <v>72</v>
      </c>
      <c r="H249">
        <f t="shared" ca="1" si="22"/>
        <v>824</v>
      </c>
      <c r="I249" t="str">
        <f t="shared" ca="1" si="23"/>
        <v>Salaried</v>
      </c>
      <c r="J249" t="str">
        <f t="shared" ca="1" si="24"/>
        <v>Car</v>
      </c>
      <c r="K249" t="str">
        <f t="shared" ca="1" si="25"/>
        <v>Rejected</v>
      </c>
      <c r="L249">
        <f t="shared" si="12"/>
        <v>971</v>
      </c>
      <c r="M249">
        <f t="shared" ca="1" si="13"/>
        <v>612</v>
      </c>
      <c r="N249">
        <f t="shared" ca="1" si="14"/>
        <v>292</v>
      </c>
      <c r="O249" s="2">
        <f t="shared" ca="1" si="15"/>
        <v>0.63027806385169927</v>
      </c>
    </row>
    <row r="250" spans="1:15" x14ac:dyDescent="0.3">
      <c r="A250" s="3" t="s">
        <v>455</v>
      </c>
      <c r="B250" t="str">
        <f t="shared" ca="1" si="16"/>
        <v>Mr. Amit Das</v>
      </c>
      <c r="C250">
        <f t="shared" ca="1" si="17"/>
        <v>21</v>
      </c>
      <c r="D250" t="str">
        <f t="shared" si="18"/>
        <v>Male</v>
      </c>
      <c r="E250">
        <f t="shared" ca="1" si="19"/>
        <v>652503</v>
      </c>
      <c r="F250">
        <f t="shared" ca="1" si="20"/>
        <v>897244</v>
      </c>
      <c r="G250">
        <f t="shared" ca="1" si="21"/>
        <v>48</v>
      </c>
      <c r="H250">
        <f t="shared" ca="1" si="22"/>
        <v>476</v>
      </c>
      <c r="I250" t="str">
        <f t="shared" ca="1" si="23"/>
        <v>Contract-Based</v>
      </c>
      <c r="J250" t="str">
        <f t="shared" ca="1" si="24"/>
        <v>Education</v>
      </c>
      <c r="K250" t="str">
        <f t="shared" ca="1" si="25"/>
        <v>Approved</v>
      </c>
      <c r="L250">
        <f t="shared" si="12"/>
        <v>971</v>
      </c>
      <c r="M250">
        <f t="shared" ca="1" si="13"/>
        <v>612</v>
      </c>
      <c r="N250">
        <f t="shared" ca="1" si="14"/>
        <v>292</v>
      </c>
      <c r="O250" s="2">
        <f t="shared" ca="1" si="15"/>
        <v>0.63027806385169927</v>
      </c>
    </row>
    <row r="251" spans="1:15" x14ac:dyDescent="0.3">
      <c r="A251" s="3" t="s">
        <v>456</v>
      </c>
      <c r="B251" t="str">
        <f t="shared" ca="1" si="16"/>
        <v>Mr. Raj Kumar</v>
      </c>
      <c r="C251">
        <f t="shared" ca="1" si="17"/>
        <v>38</v>
      </c>
      <c r="D251" t="str">
        <f t="shared" si="18"/>
        <v>Female</v>
      </c>
      <c r="E251">
        <f t="shared" ca="1" si="19"/>
        <v>1195380</v>
      </c>
      <c r="F251">
        <f t="shared" ca="1" si="20"/>
        <v>783242</v>
      </c>
      <c r="G251">
        <f t="shared" ca="1" si="21"/>
        <v>36</v>
      </c>
      <c r="H251">
        <f t="shared" ca="1" si="22"/>
        <v>736</v>
      </c>
      <c r="I251" t="str">
        <f t="shared" ca="1" si="23"/>
        <v>Self-Employed</v>
      </c>
      <c r="J251" t="str">
        <f t="shared" ca="1" si="24"/>
        <v>Car</v>
      </c>
      <c r="K251" t="str">
        <f t="shared" ca="1" si="25"/>
        <v>Approved</v>
      </c>
      <c r="L251">
        <f t="shared" si="12"/>
        <v>971</v>
      </c>
      <c r="M251">
        <f t="shared" ca="1" si="13"/>
        <v>612</v>
      </c>
      <c r="N251">
        <f t="shared" ca="1" si="14"/>
        <v>292</v>
      </c>
      <c r="O251" s="2">
        <f t="shared" ca="1" si="15"/>
        <v>0.63027806385169927</v>
      </c>
    </row>
    <row r="252" spans="1:15" x14ac:dyDescent="0.3">
      <c r="A252" s="3" t="s">
        <v>457</v>
      </c>
      <c r="B252" t="str">
        <f t="shared" ca="1" si="16"/>
        <v>Ms. Kajal Yadav</v>
      </c>
      <c r="C252">
        <f t="shared" ca="1" si="17"/>
        <v>39</v>
      </c>
      <c r="D252" t="str">
        <f t="shared" si="18"/>
        <v>Female</v>
      </c>
      <c r="E252">
        <f t="shared" ca="1" si="19"/>
        <v>1828092</v>
      </c>
      <c r="F252">
        <f t="shared" ca="1" si="20"/>
        <v>175083</v>
      </c>
      <c r="G252">
        <f t="shared" ca="1" si="21"/>
        <v>36</v>
      </c>
      <c r="H252">
        <f t="shared" ca="1" si="22"/>
        <v>788</v>
      </c>
      <c r="I252" t="str">
        <f t="shared" ca="1" si="23"/>
        <v>Freelancer</v>
      </c>
      <c r="J252" t="str">
        <f t="shared" ca="1" si="24"/>
        <v>Car</v>
      </c>
      <c r="K252" t="str">
        <f t="shared" ca="1" si="25"/>
        <v>Approved</v>
      </c>
      <c r="L252">
        <f t="shared" si="12"/>
        <v>971</v>
      </c>
      <c r="M252">
        <f t="shared" ca="1" si="13"/>
        <v>612</v>
      </c>
      <c r="N252">
        <f t="shared" ca="1" si="14"/>
        <v>292</v>
      </c>
      <c r="O252" s="2">
        <f t="shared" ca="1" si="15"/>
        <v>0.63027806385169927</v>
      </c>
    </row>
    <row r="253" spans="1:15" x14ac:dyDescent="0.3">
      <c r="A253" s="3" t="s">
        <v>458</v>
      </c>
      <c r="B253" t="str">
        <f t="shared" ca="1" si="16"/>
        <v>Ms. Priya Sharma</v>
      </c>
      <c r="C253">
        <f t="shared" ca="1" si="17"/>
        <v>58</v>
      </c>
      <c r="D253" t="str">
        <f t="shared" si="18"/>
        <v>Male</v>
      </c>
      <c r="E253">
        <f t="shared" ca="1" si="19"/>
        <v>728857</v>
      </c>
      <c r="F253">
        <f t="shared" ca="1" si="20"/>
        <v>882775</v>
      </c>
      <c r="G253">
        <f t="shared" ca="1" si="21"/>
        <v>84</v>
      </c>
      <c r="H253">
        <f t="shared" ca="1" si="22"/>
        <v>716</v>
      </c>
      <c r="I253" t="str">
        <f t="shared" ca="1" si="23"/>
        <v>Freelancer</v>
      </c>
      <c r="J253" t="str">
        <f t="shared" ca="1" si="24"/>
        <v>Business</v>
      </c>
      <c r="K253" t="str">
        <f t="shared" ca="1" si="25"/>
        <v>Rejected</v>
      </c>
      <c r="L253">
        <f t="shared" si="12"/>
        <v>971</v>
      </c>
      <c r="M253">
        <f t="shared" ca="1" si="13"/>
        <v>612</v>
      </c>
      <c r="N253">
        <f t="shared" ca="1" si="14"/>
        <v>292</v>
      </c>
      <c r="O253" s="2">
        <f t="shared" ca="1" si="15"/>
        <v>0.63027806385169927</v>
      </c>
    </row>
    <row r="254" spans="1:15" x14ac:dyDescent="0.3">
      <c r="A254" s="3" t="s">
        <v>459</v>
      </c>
      <c r="B254" t="str">
        <f t="shared" ca="1" si="16"/>
        <v>Mr. Rohan Gupta</v>
      </c>
      <c r="C254">
        <f t="shared" ca="1" si="17"/>
        <v>33</v>
      </c>
      <c r="D254" t="str">
        <f t="shared" si="18"/>
        <v>Male</v>
      </c>
      <c r="E254">
        <f t="shared" ca="1" si="19"/>
        <v>1019855</v>
      </c>
      <c r="F254">
        <f t="shared" ca="1" si="20"/>
        <v>1051411</v>
      </c>
      <c r="G254">
        <f t="shared" ca="1" si="21"/>
        <v>60</v>
      </c>
      <c r="H254">
        <f t="shared" ca="1" si="22"/>
        <v>697</v>
      </c>
      <c r="I254" t="str">
        <f t="shared" ca="1" si="23"/>
        <v>Freelancer</v>
      </c>
      <c r="J254" t="str">
        <f t="shared" ca="1" si="24"/>
        <v>Personal</v>
      </c>
      <c r="K254" t="str">
        <f t="shared" ca="1" si="25"/>
        <v>Approved</v>
      </c>
      <c r="L254">
        <f t="shared" si="12"/>
        <v>971</v>
      </c>
      <c r="M254">
        <f t="shared" ca="1" si="13"/>
        <v>612</v>
      </c>
      <c r="N254">
        <f t="shared" ca="1" si="14"/>
        <v>292</v>
      </c>
      <c r="O254" s="2">
        <f t="shared" ca="1" si="15"/>
        <v>0.63027806385169927</v>
      </c>
    </row>
    <row r="255" spans="1:15" x14ac:dyDescent="0.3">
      <c r="A255" s="3" t="s">
        <v>460</v>
      </c>
      <c r="B255" t="str">
        <f t="shared" ca="1" si="16"/>
        <v>Mr. Rohan Gupta</v>
      </c>
      <c r="C255">
        <f t="shared" ca="1" si="17"/>
        <v>26</v>
      </c>
      <c r="D255" t="str">
        <f t="shared" si="18"/>
        <v>Female</v>
      </c>
      <c r="E255">
        <f t="shared" ca="1" si="19"/>
        <v>263217</v>
      </c>
      <c r="F255">
        <f t="shared" ca="1" si="20"/>
        <v>1122464</v>
      </c>
      <c r="G255">
        <f t="shared" ca="1" si="21"/>
        <v>84</v>
      </c>
      <c r="H255">
        <f t="shared" ca="1" si="22"/>
        <v>354</v>
      </c>
      <c r="I255" t="str">
        <f t="shared" ca="1" si="23"/>
        <v>Salaried</v>
      </c>
      <c r="J255" t="str">
        <f t="shared" ca="1" si="24"/>
        <v>Education</v>
      </c>
      <c r="K255" t="str">
        <f t="shared" ca="1" si="25"/>
        <v>Approved</v>
      </c>
      <c r="L255">
        <f t="shared" si="12"/>
        <v>971</v>
      </c>
      <c r="M255">
        <f t="shared" ca="1" si="13"/>
        <v>612</v>
      </c>
      <c r="N255">
        <f t="shared" ca="1" si="14"/>
        <v>292</v>
      </c>
      <c r="O255" s="2">
        <f t="shared" ca="1" si="15"/>
        <v>0.63027806385169927</v>
      </c>
    </row>
    <row r="256" spans="1:15" x14ac:dyDescent="0.3">
      <c r="A256" s="3" t="s">
        <v>461</v>
      </c>
      <c r="B256" t="str">
        <f t="shared" ca="1" si="16"/>
        <v>Mr. Rohan Gupta</v>
      </c>
      <c r="C256">
        <f t="shared" ca="1" si="17"/>
        <v>37</v>
      </c>
      <c r="D256" t="str">
        <f t="shared" si="18"/>
        <v>Female</v>
      </c>
      <c r="E256">
        <f t="shared" ca="1" si="19"/>
        <v>1453885</v>
      </c>
      <c r="F256">
        <f t="shared" ca="1" si="20"/>
        <v>987278</v>
      </c>
      <c r="G256">
        <f t="shared" ca="1" si="21"/>
        <v>60</v>
      </c>
      <c r="H256">
        <f t="shared" ca="1" si="22"/>
        <v>510</v>
      </c>
      <c r="I256" t="str">
        <f t="shared" ca="1" si="23"/>
        <v>Freelancer</v>
      </c>
      <c r="J256" t="str">
        <f t="shared" ca="1" si="24"/>
        <v>Car</v>
      </c>
      <c r="K256" t="str">
        <f t="shared" ca="1" si="25"/>
        <v>Rejected</v>
      </c>
      <c r="L256">
        <f t="shared" si="12"/>
        <v>971</v>
      </c>
      <c r="M256">
        <f t="shared" ca="1" si="13"/>
        <v>612</v>
      </c>
      <c r="N256">
        <f t="shared" ca="1" si="14"/>
        <v>292</v>
      </c>
      <c r="O256" s="2">
        <f t="shared" ca="1" si="15"/>
        <v>0.63027806385169927</v>
      </c>
    </row>
    <row r="257" spans="1:15" x14ac:dyDescent="0.3">
      <c r="A257" s="3" t="s">
        <v>462</v>
      </c>
      <c r="B257" t="str">
        <f t="shared" ca="1" si="16"/>
        <v>Ms. Neha Verma</v>
      </c>
      <c r="C257">
        <f t="shared" ca="1" si="17"/>
        <v>47</v>
      </c>
      <c r="D257" t="str">
        <f t="shared" si="18"/>
        <v>Female</v>
      </c>
      <c r="E257">
        <f t="shared" ca="1" si="19"/>
        <v>1452399</v>
      </c>
      <c r="F257">
        <f t="shared" ca="1" si="20"/>
        <v>1153593</v>
      </c>
      <c r="G257">
        <f t="shared" ca="1" si="21"/>
        <v>12</v>
      </c>
      <c r="H257">
        <f t="shared" ca="1" si="22"/>
        <v>640</v>
      </c>
      <c r="I257" t="str">
        <f t="shared" ca="1" si="23"/>
        <v>Student</v>
      </c>
      <c r="J257" t="str">
        <f t="shared" ca="1" si="24"/>
        <v>Home</v>
      </c>
      <c r="K257" t="str">
        <f t="shared" ca="1" si="25"/>
        <v>Rejected</v>
      </c>
      <c r="L257">
        <f t="shared" si="12"/>
        <v>971</v>
      </c>
      <c r="M257">
        <f t="shared" ca="1" si="13"/>
        <v>612</v>
      </c>
      <c r="N257">
        <f t="shared" ca="1" si="14"/>
        <v>292</v>
      </c>
      <c r="O257" s="2">
        <f t="shared" ca="1" si="15"/>
        <v>0.63027806385169927</v>
      </c>
    </row>
    <row r="258" spans="1:15" x14ac:dyDescent="0.3">
      <c r="A258" s="3" t="s">
        <v>463</v>
      </c>
      <c r="B258" t="str">
        <f t="shared" ca="1" si="16"/>
        <v>Mr. Suresh Rao</v>
      </c>
      <c r="C258">
        <f t="shared" ca="1" si="17"/>
        <v>47</v>
      </c>
      <c r="D258" t="str">
        <f t="shared" si="18"/>
        <v>Male</v>
      </c>
      <c r="E258">
        <f t="shared" ca="1" si="19"/>
        <v>1854602</v>
      </c>
      <c r="F258">
        <f t="shared" ca="1" si="20"/>
        <v>1086046</v>
      </c>
      <c r="G258">
        <f t="shared" ca="1" si="21"/>
        <v>12</v>
      </c>
      <c r="H258">
        <f t="shared" ca="1" si="22"/>
        <v>527</v>
      </c>
      <c r="I258" t="str">
        <f t="shared" ca="1" si="23"/>
        <v>Freelancer</v>
      </c>
      <c r="J258" t="str">
        <f t="shared" ca="1" si="24"/>
        <v>Home</v>
      </c>
      <c r="K258" t="str">
        <f t="shared" ca="1" si="25"/>
        <v>Approved</v>
      </c>
      <c r="L258">
        <f t="shared" ref="L258:L321" si="26">COUNTA($A$2:$A$1001)</f>
        <v>971</v>
      </c>
      <c r="M258">
        <f t="shared" ca="1" si="13"/>
        <v>612</v>
      </c>
      <c r="N258">
        <f t="shared" ca="1" si="14"/>
        <v>292</v>
      </c>
      <c r="O258" s="2">
        <f t="shared" ca="1" si="15"/>
        <v>0.63027806385169927</v>
      </c>
    </row>
    <row r="259" spans="1:15" x14ac:dyDescent="0.3">
      <c r="A259" s="3" t="s">
        <v>464</v>
      </c>
      <c r="B259" t="str">
        <f t="shared" ca="1" si="16"/>
        <v>Mr. Rohan Gupta</v>
      </c>
      <c r="C259">
        <f t="shared" ca="1" si="17"/>
        <v>51</v>
      </c>
      <c r="D259" t="str">
        <f t="shared" si="18"/>
        <v>Female</v>
      </c>
      <c r="E259">
        <f t="shared" ca="1" si="19"/>
        <v>590670</v>
      </c>
      <c r="F259">
        <f t="shared" ca="1" si="20"/>
        <v>1600237</v>
      </c>
      <c r="G259">
        <f t="shared" ca="1" si="21"/>
        <v>72</v>
      </c>
      <c r="H259">
        <f t="shared" ca="1" si="22"/>
        <v>336</v>
      </c>
      <c r="I259" t="str">
        <f t="shared" ca="1" si="23"/>
        <v>Business</v>
      </c>
      <c r="J259" t="str">
        <f t="shared" ca="1" si="24"/>
        <v>Home</v>
      </c>
      <c r="K259" t="str">
        <f t="shared" ca="1" si="25"/>
        <v>Approved</v>
      </c>
      <c r="L259">
        <f t="shared" si="26"/>
        <v>971</v>
      </c>
      <c r="M259">
        <f t="shared" ref="M259:M322" ca="1" si="27">COUNTIF($K$2:$K$1001,"Approved")</f>
        <v>612</v>
      </c>
      <c r="N259">
        <f t="shared" ref="N259:N322" ca="1" si="28">COUNTIF($K$2:$K$1001,"Rejected")</f>
        <v>292</v>
      </c>
      <c r="O259" s="2">
        <f t="shared" ref="O259:O322" ca="1" si="29">COUNTIF($K$2:$K$1001,"Approved") / COUNTA($A$2:$A$1001)</f>
        <v>0.63027806385169927</v>
      </c>
    </row>
    <row r="260" spans="1:15" x14ac:dyDescent="0.3">
      <c r="A260" s="3" t="s">
        <v>465</v>
      </c>
      <c r="B260" t="str">
        <f t="shared" ca="1" si="16"/>
        <v>Mr. Arun Kumar</v>
      </c>
      <c r="C260">
        <f t="shared" ca="1" si="17"/>
        <v>35</v>
      </c>
      <c r="D260" t="str">
        <f t="shared" si="18"/>
        <v>Male</v>
      </c>
      <c r="E260">
        <f t="shared" ca="1" si="19"/>
        <v>1912857</v>
      </c>
      <c r="F260">
        <f t="shared" ca="1" si="20"/>
        <v>1721184</v>
      </c>
      <c r="G260">
        <f t="shared" ca="1" si="21"/>
        <v>12</v>
      </c>
      <c r="H260">
        <f t="shared" ca="1" si="22"/>
        <v>893</v>
      </c>
      <c r="I260" t="str">
        <f t="shared" ca="1" si="23"/>
        <v>Salaried</v>
      </c>
      <c r="J260" t="str">
        <f t="shared" ca="1" si="24"/>
        <v>Home</v>
      </c>
      <c r="K260" t="str">
        <f t="shared" ca="1" si="25"/>
        <v>Approved</v>
      </c>
      <c r="L260">
        <f t="shared" si="26"/>
        <v>971</v>
      </c>
      <c r="M260">
        <f t="shared" ca="1" si="27"/>
        <v>612</v>
      </c>
      <c r="N260">
        <f t="shared" ca="1" si="28"/>
        <v>292</v>
      </c>
      <c r="O260" s="2">
        <f t="shared" ca="1" si="29"/>
        <v>0.63027806385169927</v>
      </c>
    </row>
    <row r="261" spans="1:15" x14ac:dyDescent="0.3">
      <c r="A261" s="3" t="s">
        <v>466</v>
      </c>
      <c r="B261" t="str">
        <f t="shared" ca="1" si="16"/>
        <v>Mr. Rohan Gupta</v>
      </c>
      <c r="C261">
        <f t="shared" ca="1" si="17"/>
        <v>22</v>
      </c>
      <c r="D261" t="str">
        <f t="shared" si="18"/>
        <v>Male</v>
      </c>
      <c r="E261">
        <f t="shared" ca="1" si="19"/>
        <v>1611873</v>
      </c>
      <c r="F261">
        <f t="shared" ca="1" si="20"/>
        <v>1513054</v>
      </c>
      <c r="G261">
        <f t="shared" ca="1" si="21"/>
        <v>36</v>
      </c>
      <c r="H261">
        <f t="shared" ca="1" si="22"/>
        <v>777</v>
      </c>
      <c r="I261" t="str">
        <f t="shared" ca="1" si="23"/>
        <v>Contract-Based</v>
      </c>
      <c r="J261" t="str">
        <f t="shared" ca="1" si="24"/>
        <v>Home</v>
      </c>
      <c r="K261" t="str">
        <f t="shared" ca="1" si="25"/>
        <v>Rejected</v>
      </c>
      <c r="L261">
        <f t="shared" si="26"/>
        <v>971</v>
      </c>
      <c r="M261">
        <f t="shared" ca="1" si="27"/>
        <v>612</v>
      </c>
      <c r="N261">
        <f t="shared" ca="1" si="28"/>
        <v>292</v>
      </c>
      <c r="O261" s="2">
        <f t="shared" ca="1" si="29"/>
        <v>0.63027806385169927</v>
      </c>
    </row>
    <row r="262" spans="1:15" x14ac:dyDescent="0.3">
      <c r="A262" s="3" t="s">
        <v>467</v>
      </c>
      <c r="B262" t="str">
        <f t="shared" ca="1" si="16"/>
        <v>Ms. Neha Verma</v>
      </c>
      <c r="C262">
        <f t="shared" ca="1" si="17"/>
        <v>63</v>
      </c>
      <c r="D262" t="str">
        <f t="shared" si="18"/>
        <v>Male</v>
      </c>
      <c r="E262">
        <f t="shared" ca="1" si="19"/>
        <v>611738</v>
      </c>
      <c r="F262">
        <f t="shared" ca="1" si="20"/>
        <v>304400</v>
      </c>
      <c r="G262">
        <f t="shared" ca="1" si="21"/>
        <v>24</v>
      </c>
      <c r="H262">
        <f t="shared" ca="1" si="22"/>
        <v>708</v>
      </c>
      <c r="I262" t="str">
        <f t="shared" ca="1" si="23"/>
        <v>Student</v>
      </c>
      <c r="J262" t="str">
        <f t="shared" ca="1" si="24"/>
        <v>Home</v>
      </c>
      <c r="K262" t="str">
        <f t="shared" ca="1" si="25"/>
        <v>Approved</v>
      </c>
      <c r="L262">
        <f t="shared" si="26"/>
        <v>971</v>
      </c>
      <c r="M262">
        <f t="shared" ca="1" si="27"/>
        <v>612</v>
      </c>
      <c r="N262">
        <f t="shared" ca="1" si="28"/>
        <v>292</v>
      </c>
      <c r="O262" s="2">
        <f t="shared" ca="1" si="29"/>
        <v>0.63027806385169927</v>
      </c>
    </row>
    <row r="263" spans="1:15" x14ac:dyDescent="0.3">
      <c r="A263" s="3" t="s">
        <v>468</v>
      </c>
      <c r="B263" t="str">
        <f t="shared" ca="1" si="16"/>
        <v>Mr. Rohan Gupta</v>
      </c>
      <c r="C263">
        <f t="shared" ca="1" si="17"/>
        <v>57</v>
      </c>
      <c r="D263" t="str">
        <f t="shared" si="18"/>
        <v>Female</v>
      </c>
      <c r="E263">
        <f t="shared" ca="1" si="19"/>
        <v>1912000</v>
      </c>
      <c r="F263">
        <f t="shared" ca="1" si="20"/>
        <v>469820</v>
      </c>
      <c r="G263">
        <f t="shared" ca="1" si="21"/>
        <v>72</v>
      </c>
      <c r="H263">
        <f t="shared" ca="1" si="22"/>
        <v>860</v>
      </c>
      <c r="I263" t="str">
        <f t="shared" ca="1" si="23"/>
        <v>Self-Employed</v>
      </c>
      <c r="J263" t="str">
        <f t="shared" ca="1" si="24"/>
        <v>Business</v>
      </c>
      <c r="K263" t="str">
        <f t="shared" ca="1" si="25"/>
        <v>Approved</v>
      </c>
      <c r="L263">
        <f t="shared" si="26"/>
        <v>971</v>
      </c>
      <c r="M263">
        <f t="shared" ca="1" si="27"/>
        <v>612</v>
      </c>
      <c r="N263">
        <f t="shared" ca="1" si="28"/>
        <v>292</v>
      </c>
      <c r="O263" s="2">
        <f t="shared" ca="1" si="29"/>
        <v>0.63027806385169927</v>
      </c>
    </row>
    <row r="264" spans="1:15" x14ac:dyDescent="0.3">
      <c r="A264" s="3" t="s">
        <v>469</v>
      </c>
      <c r="B264" t="str">
        <f t="shared" ca="1" si="16"/>
        <v>Mr. Rohan Gupta</v>
      </c>
      <c r="C264">
        <f t="shared" ca="1" si="17"/>
        <v>51</v>
      </c>
      <c r="D264" t="str">
        <f t="shared" si="18"/>
        <v>Male</v>
      </c>
      <c r="E264">
        <f t="shared" ca="1" si="19"/>
        <v>738398</v>
      </c>
      <c r="F264">
        <f t="shared" ca="1" si="20"/>
        <v>1759973</v>
      </c>
      <c r="G264">
        <f t="shared" ca="1" si="21"/>
        <v>84</v>
      </c>
      <c r="H264">
        <f t="shared" ca="1" si="22"/>
        <v>558</v>
      </c>
      <c r="I264" t="str">
        <f t="shared" ca="1" si="23"/>
        <v>Contract-Based</v>
      </c>
      <c r="J264" t="str">
        <f t="shared" ca="1" si="24"/>
        <v>Personal</v>
      </c>
      <c r="K264" t="str">
        <f t="shared" ca="1" si="25"/>
        <v>Rejected</v>
      </c>
      <c r="L264">
        <f t="shared" si="26"/>
        <v>971</v>
      </c>
      <c r="M264">
        <f t="shared" ca="1" si="27"/>
        <v>612</v>
      </c>
      <c r="N264">
        <f t="shared" ca="1" si="28"/>
        <v>292</v>
      </c>
      <c r="O264" s="2">
        <f t="shared" ca="1" si="29"/>
        <v>0.63027806385169927</v>
      </c>
    </row>
    <row r="265" spans="1:15" x14ac:dyDescent="0.3">
      <c r="A265" s="3" t="s">
        <v>470</v>
      </c>
      <c r="B265" t="str">
        <f t="shared" ca="1" si="16"/>
        <v>Mr. Raj Kumar</v>
      </c>
      <c r="C265">
        <f t="shared" ca="1" si="17"/>
        <v>56</v>
      </c>
      <c r="D265" t="str">
        <f t="shared" si="18"/>
        <v>Male</v>
      </c>
      <c r="E265">
        <f t="shared" ca="1" si="19"/>
        <v>907052</v>
      </c>
      <c r="F265">
        <f t="shared" ca="1" si="20"/>
        <v>1168503</v>
      </c>
      <c r="G265">
        <f t="shared" ca="1" si="21"/>
        <v>24</v>
      </c>
      <c r="H265">
        <f t="shared" ca="1" si="22"/>
        <v>631</v>
      </c>
      <c r="I265" t="str">
        <f t="shared" ca="1" si="23"/>
        <v>Self-Employed</v>
      </c>
      <c r="J265" t="str">
        <f t="shared" ca="1" si="24"/>
        <v>Education</v>
      </c>
      <c r="K265" t="str">
        <f t="shared" ca="1" si="25"/>
        <v>Approved</v>
      </c>
      <c r="L265">
        <f t="shared" si="26"/>
        <v>971</v>
      </c>
      <c r="M265">
        <f t="shared" ca="1" si="27"/>
        <v>612</v>
      </c>
      <c r="N265">
        <f t="shared" ca="1" si="28"/>
        <v>292</v>
      </c>
      <c r="O265" s="2">
        <f t="shared" ca="1" si="29"/>
        <v>0.63027806385169927</v>
      </c>
    </row>
    <row r="266" spans="1:15" x14ac:dyDescent="0.3">
      <c r="A266" s="3" t="s">
        <v>471</v>
      </c>
      <c r="B266" t="str">
        <f t="shared" ca="1" si="16"/>
        <v>Ms. Kajal Yadav</v>
      </c>
      <c r="C266">
        <f t="shared" ca="1" si="17"/>
        <v>34</v>
      </c>
      <c r="D266" t="str">
        <f t="shared" si="18"/>
        <v>Female</v>
      </c>
      <c r="E266">
        <f t="shared" ca="1" si="19"/>
        <v>1508948</v>
      </c>
      <c r="F266">
        <f t="shared" ca="1" si="20"/>
        <v>2238998</v>
      </c>
      <c r="G266">
        <f t="shared" ca="1" si="21"/>
        <v>12</v>
      </c>
      <c r="H266">
        <f t="shared" ca="1" si="22"/>
        <v>385</v>
      </c>
      <c r="I266" t="str">
        <f t="shared" ca="1" si="23"/>
        <v>Student</v>
      </c>
      <c r="J266" t="str">
        <f t="shared" ca="1" si="24"/>
        <v>Home</v>
      </c>
      <c r="K266" t="str">
        <f t="shared" ca="1" si="25"/>
        <v>Approved</v>
      </c>
      <c r="L266">
        <f t="shared" si="26"/>
        <v>971</v>
      </c>
      <c r="M266">
        <f t="shared" ca="1" si="27"/>
        <v>612</v>
      </c>
      <c r="N266">
        <f t="shared" ca="1" si="28"/>
        <v>292</v>
      </c>
      <c r="O266" s="2">
        <f t="shared" ca="1" si="29"/>
        <v>0.63027806385169927</v>
      </c>
    </row>
    <row r="267" spans="1:15" x14ac:dyDescent="0.3">
      <c r="A267" s="3" t="s">
        <v>472</v>
      </c>
      <c r="B267" t="str">
        <f t="shared" ref="B267:B330" ca="1" si="30">CHOOSE(RANDBETWEEN(1,10),
"Mr. Raj Kumar","Ms. Priya Sharma","Mr. Amit Das","Ms. Anjali Singh","Mr. Rohan Gupta",
"Ms. Neha Verma","Mr. Suresh Rao","Ms. Pooja Patel","Mr. Arun Kumar","Ms. Kajal Yadav")</f>
        <v>Ms. Priya Sharma</v>
      </c>
      <c r="C267">
        <f t="shared" ref="C267:C330" ca="1" si="31">RANDBETWEEN(21,65)</f>
        <v>64</v>
      </c>
      <c r="D267" t="str">
        <f t="shared" ref="D267:D330" si="32">IF(LEFT(B67,3)="Mr.","Male","Female")</f>
        <v>Female</v>
      </c>
      <c r="E267">
        <f t="shared" ref="E267:E330" ca="1" si="33">RANDBETWEEN(200000,2000000)</f>
        <v>1127762</v>
      </c>
      <c r="F267">
        <f t="shared" ref="F267:F330" ca="1" si="34">RANDBETWEEN(50000,2500000)</f>
        <v>1355577</v>
      </c>
      <c r="G267">
        <f t="shared" ref="G267:G330" ca="1" si="35">CHOOSE(RANDBETWEEN(1,7),12,24,36,48,60,72,84)</f>
        <v>36</v>
      </c>
      <c r="H267">
        <f t="shared" ref="H267:H330" ca="1" si="36">RANDBETWEEN(300,900)</f>
        <v>636</v>
      </c>
      <c r="I267" t="str">
        <f t="shared" ref="I267:I330" ca="1" si="37">CHOOSE(RANDBETWEEN(1,6),
"Salaried","Self-Employed","Business","Freelancer","Student","Contract-Based")</f>
        <v>Business</v>
      </c>
      <c r="J267" t="str">
        <f t="shared" ref="J267:J330" ca="1" si="38">CHOOSE(RANDBETWEEN(1,5),
"Home","Car","Education","Business","Personal")</f>
        <v>Personal</v>
      </c>
      <c r="K267" t="str">
        <f t="shared" ref="K267:K330" ca="1" si="39">IF(RANDBETWEEN(1,100)&lt;=70,"Approved","Rejected")</f>
        <v>Approved</v>
      </c>
      <c r="L267">
        <f t="shared" si="26"/>
        <v>971</v>
      </c>
      <c r="M267">
        <f t="shared" ca="1" si="27"/>
        <v>612</v>
      </c>
      <c r="N267">
        <f t="shared" ca="1" si="28"/>
        <v>292</v>
      </c>
      <c r="O267" s="2">
        <f t="shared" ca="1" si="29"/>
        <v>0.63027806385169927</v>
      </c>
    </row>
    <row r="268" spans="1:15" x14ac:dyDescent="0.3">
      <c r="A268" s="3" t="s">
        <v>473</v>
      </c>
      <c r="B268" t="str">
        <f t="shared" ca="1" si="30"/>
        <v>Mr. Amit Das</v>
      </c>
      <c r="C268">
        <f t="shared" ca="1" si="31"/>
        <v>40</v>
      </c>
      <c r="D268" t="str">
        <f t="shared" si="32"/>
        <v>Female</v>
      </c>
      <c r="E268">
        <f t="shared" ca="1" si="33"/>
        <v>947221</v>
      </c>
      <c r="F268">
        <f t="shared" ca="1" si="34"/>
        <v>1820392</v>
      </c>
      <c r="G268">
        <f t="shared" ca="1" si="35"/>
        <v>60</v>
      </c>
      <c r="H268">
        <f t="shared" ca="1" si="36"/>
        <v>526</v>
      </c>
      <c r="I268" t="str">
        <f t="shared" ca="1" si="37"/>
        <v>Self-Employed</v>
      </c>
      <c r="J268" t="str">
        <f t="shared" ca="1" si="38"/>
        <v>Personal</v>
      </c>
      <c r="K268" t="str">
        <f t="shared" ca="1" si="39"/>
        <v>Approved</v>
      </c>
      <c r="L268">
        <f t="shared" si="26"/>
        <v>971</v>
      </c>
      <c r="M268">
        <f t="shared" ca="1" si="27"/>
        <v>612</v>
      </c>
      <c r="N268">
        <f t="shared" ca="1" si="28"/>
        <v>292</v>
      </c>
      <c r="O268" s="2">
        <f t="shared" ca="1" si="29"/>
        <v>0.63027806385169927</v>
      </c>
    </row>
    <row r="269" spans="1:15" x14ac:dyDescent="0.3">
      <c r="A269" s="3" t="s">
        <v>474</v>
      </c>
      <c r="B269" t="str">
        <f t="shared" ca="1" si="30"/>
        <v>Ms. Priya Sharma</v>
      </c>
      <c r="C269">
        <f t="shared" ca="1" si="31"/>
        <v>36</v>
      </c>
      <c r="D269" t="str">
        <f t="shared" si="32"/>
        <v>Male</v>
      </c>
      <c r="E269">
        <f t="shared" ca="1" si="33"/>
        <v>266471</v>
      </c>
      <c r="F269">
        <f t="shared" ca="1" si="34"/>
        <v>213890</v>
      </c>
      <c r="G269">
        <f t="shared" ca="1" si="35"/>
        <v>36</v>
      </c>
      <c r="H269">
        <f t="shared" ca="1" si="36"/>
        <v>818</v>
      </c>
      <c r="I269" t="str">
        <f t="shared" ca="1" si="37"/>
        <v>Freelancer</v>
      </c>
      <c r="J269" t="str">
        <f t="shared" ca="1" si="38"/>
        <v>Business</v>
      </c>
      <c r="K269" t="str">
        <f t="shared" ca="1" si="39"/>
        <v>Approved</v>
      </c>
      <c r="L269">
        <f t="shared" si="26"/>
        <v>971</v>
      </c>
      <c r="M269">
        <f t="shared" ca="1" si="27"/>
        <v>612</v>
      </c>
      <c r="N269">
        <f t="shared" ca="1" si="28"/>
        <v>292</v>
      </c>
      <c r="O269" s="2">
        <f t="shared" ca="1" si="29"/>
        <v>0.63027806385169927</v>
      </c>
    </row>
    <row r="270" spans="1:15" x14ac:dyDescent="0.3">
      <c r="A270" s="3" t="s">
        <v>475</v>
      </c>
      <c r="B270" t="str">
        <f t="shared" ca="1" si="30"/>
        <v>Ms. Neha Verma</v>
      </c>
      <c r="C270">
        <f t="shared" ca="1" si="31"/>
        <v>24</v>
      </c>
      <c r="D270" t="str">
        <f t="shared" si="32"/>
        <v>Female</v>
      </c>
      <c r="E270">
        <f t="shared" ca="1" si="33"/>
        <v>1006171</v>
      </c>
      <c r="F270">
        <f t="shared" ca="1" si="34"/>
        <v>1065660</v>
      </c>
      <c r="G270">
        <f t="shared" ca="1" si="35"/>
        <v>84</v>
      </c>
      <c r="H270">
        <f t="shared" ca="1" si="36"/>
        <v>403</v>
      </c>
      <c r="I270" t="str">
        <f t="shared" ca="1" si="37"/>
        <v>Self-Employed</v>
      </c>
      <c r="J270" t="str">
        <f t="shared" ca="1" si="38"/>
        <v>Education</v>
      </c>
      <c r="K270" t="str">
        <f t="shared" ca="1" si="39"/>
        <v>Approved</v>
      </c>
      <c r="L270">
        <f t="shared" si="26"/>
        <v>971</v>
      </c>
      <c r="M270">
        <f t="shared" ca="1" si="27"/>
        <v>612</v>
      </c>
      <c r="N270">
        <f t="shared" ca="1" si="28"/>
        <v>292</v>
      </c>
      <c r="O270" s="2">
        <f t="shared" ca="1" si="29"/>
        <v>0.63027806385169927</v>
      </c>
    </row>
    <row r="271" spans="1:15" x14ac:dyDescent="0.3">
      <c r="A271" s="3" t="s">
        <v>476</v>
      </c>
      <c r="B271" t="str">
        <f t="shared" ca="1" si="30"/>
        <v>Mr. Amit Das</v>
      </c>
      <c r="C271">
        <f t="shared" ca="1" si="31"/>
        <v>64</v>
      </c>
      <c r="D271" t="str">
        <f t="shared" si="32"/>
        <v>Female</v>
      </c>
      <c r="E271">
        <f t="shared" ca="1" si="33"/>
        <v>387746</v>
      </c>
      <c r="F271">
        <f t="shared" ca="1" si="34"/>
        <v>2427001</v>
      </c>
      <c r="G271">
        <f t="shared" ca="1" si="35"/>
        <v>24</v>
      </c>
      <c r="H271">
        <f t="shared" ca="1" si="36"/>
        <v>637</v>
      </c>
      <c r="I271" t="str">
        <f t="shared" ca="1" si="37"/>
        <v>Business</v>
      </c>
      <c r="J271" t="str">
        <f t="shared" ca="1" si="38"/>
        <v>Car</v>
      </c>
      <c r="K271" t="str">
        <f t="shared" ca="1" si="39"/>
        <v>Approved</v>
      </c>
      <c r="L271">
        <f t="shared" si="26"/>
        <v>971</v>
      </c>
      <c r="M271">
        <f t="shared" ca="1" si="27"/>
        <v>612</v>
      </c>
      <c r="N271">
        <f t="shared" ca="1" si="28"/>
        <v>292</v>
      </c>
      <c r="O271" s="2">
        <f t="shared" ca="1" si="29"/>
        <v>0.63027806385169927</v>
      </c>
    </row>
    <row r="272" spans="1:15" x14ac:dyDescent="0.3">
      <c r="A272" s="3" t="s">
        <v>477</v>
      </c>
      <c r="B272" t="str">
        <f t="shared" ca="1" si="30"/>
        <v>Ms. Neha Verma</v>
      </c>
      <c r="C272">
        <f t="shared" ca="1" si="31"/>
        <v>49</v>
      </c>
      <c r="D272" t="str">
        <f t="shared" si="32"/>
        <v>Female</v>
      </c>
      <c r="E272">
        <f t="shared" ca="1" si="33"/>
        <v>637211</v>
      </c>
      <c r="F272">
        <f t="shared" ca="1" si="34"/>
        <v>702656</v>
      </c>
      <c r="G272">
        <f t="shared" ca="1" si="35"/>
        <v>84</v>
      </c>
      <c r="H272">
        <f t="shared" ca="1" si="36"/>
        <v>814</v>
      </c>
      <c r="I272" t="str">
        <f t="shared" ca="1" si="37"/>
        <v>Freelancer</v>
      </c>
      <c r="J272" t="str">
        <f t="shared" ca="1" si="38"/>
        <v>Personal</v>
      </c>
      <c r="K272" t="str">
        <f t="shared" ca="1" si="39"/>
        <v>Approved</v>
      </c>
      <c r="L272">
        <f t="shared" si="26"/>
        <v>971</v>
      </c>
      <c r="M272">
        <f t="shared" ca="1" si="27"/>
        <v>612</v>
      </c>
      <c r="N272">
        <f t="shared" ca="1" si="28"/>
        <v>292</v>
      </c>
      <c r="O272" s="2">
        <f t="shared" ca="1" si="29"/>
        <v>0.63027806385169927</v>
      </c>
    </row>
    <row r="273" spans="1:15" x14ac:dyDescent="0.3">
      <c r="A273" s="3" t="s">
        <v>478</v>
      </c>
      <c r="B273" t="str">
        <f t="shared" ca="1" si="30"/>
        <v>Mr. Raj Kumar</v>
      </c>
      <c r="C273">
        <f t="shared" ca="1" si="31"/>
        <v>53</v>
      </c>
      <c r="D273" t="str">
        <f t="shared" si="32"/>
        <v>Female</v>
      </c>
      <c r="E273">
        <f t="shared" ca="1" si="33"/>
        <v>1847798</v>
      </c>
      <c r="F273">
        <f t="shared" ca="1" si="34"/>
        <v>590307</v>
      </c>
      <c r="G273">
        <f t="shared" ca="1" si="35"/>
        <v>84</v>
      </c>
      <c r="H273">
        <f t="shared" ca="1" si="36"/>
        <v>446</v>
      </c>
      <c r="I273" t="str">
        <f t="shared" ca="1" si="37"/>
        <v>Salaried</v>
      </c>
      <c r="J273" t="str">
        <f t="shared" ca="1" si="38"/>
        <v>Car</v>
      </c>
      <c r="K273" t="str">
        <f t="shared" ca="1" si="39"/>
        <v>Approved</v>
      </c>
      <c r="L273">
        <f t="shared" si="26"/>
        <v>971</v>
      </c>
      <c r="M273">
        <f t="shared" ca="1" si="27"/>
        <v>612</v>
      </c>
      <c r="N273">
        <f t="shared" ca="1" si="28"/>
        <v>292</v>
      </c>
      <c r="O273" s="2">
        <f t="shared" ca="1" si="29"/>
        <v>0.63027806385169927</v>
      </c>
    </row>
    <row r="274" spans="1:15" x14ac:dyDescent="0.3">
      <c r="A274" s="3" t="s">
        <v>479</v>
      </c>
      <c r="B274" t="str">
        <f t="shared" ca="1" si="30"/>
        <v>Ms. Anjali Singh</v>
      </c>
      <c r="C274">
        <f t="shared" ca="1" si="31"/>
        <v>29</v>
      </c>
      <c r="D274" t="str">
        <f t="shared" si="32"/>
        <v>Female</v>
      </c>
      <c r="E274">
        <f t="shared" ca="1" si="33"/>
        <v>1070952</v>
      </c>
      <c r="F274">
        <f t="shared" ca="1" si="34"/>
        <v>388337</v>
      </c>
      <c r="G274">
        <f t="shared" ca="1" si="35"/>
        <v>48</v>
      </c>
      <c r="H274">
        <f t="shared" ca="1" si="36"/>
        <v>638</v>
      </c>
      <c r="I274" t="str">
        <f t="shared" ca="1" si="37"/>
        <v>Contract-Based</v>
      </c>
      <c r="J274" t="str">
        <f t="shared" ca="1" si="38"/>
        <v>Home</v>
      </c>
      <c r="K274" t="str">
        <f t="shared" ca="1" si="39"/>
        <v>Approved</v>
      </c>
      <c r="L274">
        <f t="shared" si="26"/>
        <v>971</v>
      </c>
      <c r="M274">
        <f t="shared" ca="1" si="27"/>
        <v>612</v>
      </c>
      <c r="N274">
        <f t="shared" ca="1" si="28"/>
        <v>292</v>
      </c>
      <c r="O274" s="2">
        <f t="shared" ca="1" si="29"/>
        <v>0.63027806385169927</v>
      </c>
    </row>
    <row r="275" spans="1:15" x14ac:dyDescent="0.3">
      <c r="A275" s="3" t="s">
        <v>480</v>
      </c>
      <c r="B275" t="str">
        <f t="shared" ca="1" si="30"/>
        <v>Ms. Priya Sharma</v>
      </c>
      <c r="C275">
        <f t="shared" ca="1" si="31"/>
        <v>52</v>
      </c>
      <c r="D275" t="str">
        <f t="shared" si="32"/>
        <v>Male</v>
      </c>
      <c r="E275">
        <f t="shared" ca="1" si="33"/>
        <v>1906793</v>
      </c>
      <c r="F275">
        <f t="shared" ca="1" si="34"/>
        <v>1190920</v>
      </c>
      <c r="G275">
        <f t="shared" ca="1" si="35"/>
        <v>24</v>
      </c>
      <c r="H275">
        <f t="shared" ca="1" si="36"/>
        <v>419</v>
      </c>
      <c r="I275" t="str">
        <f t="shared" ca="1" si="37"/>
        <v>Student</v>
      </c>
      <c r="J275" t="str">
        <f t="shared" ca="1" si="38"/>
        <v>Car</v>
      </c>
      <c r="K275" t="str">
        <f t="shared" ca="1" si="39"/>
        <v>Approved</v>
      </c>
      <c r="L275">
        <f t="shared" si="26"/>
        <v>971</v>
      </c>
      <c r="M275">
        <f t="shared" ca="1" si="27"/>
        <v>612</v>
      </c>
      <c r="N275">
        <f t="shared" ca="1" si="28"/>
        <v>292</v>
      </c>
      <c r="O275" s="2">
        <f t="shared" ca="1" si="29"/>
        <v>0.63027806385169927</v>
      </c>
    </row>
    <row r="276" spans="1:15" x14ac:dyDescent="0.3">
      <c r="A276" s="3" t="s">
        <v>481</v>
      </c>
      <c r="B276" t="str">
        <f t="shared" ca="1" si="30"/>
        <v>Mr. Rohan Gupta</v>
      </c>
      <c r="C276">
        <f t="shared" ca="1" si="31"/>
        <v>58</v>
      </c>
      <c r="D276" t="str">
        <f t="shared" si="32"/>
        <v>Female</v>
      </c>
      <c r="E276">
        <f t="shared" ca="1" si="33"/>
        <v>1827298</v>
      </c>
      <c r="F276">
        <f t="shared" ca="1" si="34"/>
        <v>119476</v>
      </c>
      <c r="G276">
        <f t="shared" ca="1" si="35"/>
        <v>24</v>
      </c>
      <c r="H276">
        <f t="shared" ca="1" si="36"/>
        <v>870</v>
      </c>
      <c r="I276" t="str">
        <f t="shared" ca="1" si="37"/>
        <v>Business</v>
      </c>
      <c r="J276" t="str">
        <f t="shared" ca="1" si="38"/>
        <v>Education</v>
      </c>
      <c r="K276" t="str">
        <f t="shared" ca="1" si="39"/>
        <v>Approved</v>
      </c>
      <c r="L276">
        <f t="shared" si="26"/>
        <v>971</v>
      </c>
      <c r="M276">
        <f t="shared" ca="1" si="27"/>
        <v>612</v>
      </c>
      <c r="N276">
        <f t="shared" ca="1" si="28"/>
        <v>292</v>
      </c>
      <c r="O276" s="2">
        <f t="shared" ca="1" si="29"/>
        <v>0.63027806385169927</v>
      </c>
    </row>
    <row r="277" spans="1:15" x14ac:dyDescent="0.3">
      <c r="A277" s="3" t="s">
        <v>482</v>
      </c>
      <c r="B277" t="str">
        <f t="shared" ca="1" si="30"/>
        <v>Ms. Priya Sharma</v>
      </c>
      <c r="C277">
        <f t="shared" ca="1" si="31"/>
        <v>65</v>
      </c>
      <c r="D277" t="str">
        <f t="shared" si="32"/>
        <v>Male</v>
      </c>
      <c r="E277">
        <f t="shared" ca="1" si="33"/>
        <v>589777</v>
      </c>
      <c r="F277">
        <f t="shared" ca="1" si="34"/>
        <v>1866273</v>
      </c>
      <c r="G277">
        <f t="shared" ca="1" si="35"/>
        <v>60</v>
      </c>
      <c r="H277">
        <f t="shared" ca="1" si="36"/>
        <v>525</v>
      </c>
      <c r="I277" t="str">
        <f t="shared" ca="1" si="37"/>
        <v>Salaried</v>
      </c>
      <c r="J277" t="str">
        <f t="shared" ca="1" si="38"/>
        <v>Business</v>
      </c>
      <c r="K277" t="str">
        <f t="shared" ca="1" si="39"/>
        <v>Approved</v>
      </c>
      <c r="L277">
        <f t="shared" si="26"/>
        <v>971</v>
      </c>
      <c r="M277">
        <f t="shared" ca="1" si="27"/>
        <v>612</v>
      </c>
      <c r="N277">
        <f t="shared" ca="1" si="28"/>
        <v>292</v>
      </c>
      <c r="O277" s="2">
        <f t="shared" ca="1" si="29"/>
        <v>0.63027806385169927</v>
      </c>
    </row>
    <row r="278" spans="1:15" x14ac:dyDescent="0.3">
      <c r="A278" s="3" t="s">
        <v>483</v>
      </c>
      <c r="B278" t="str">
        <f t="shared" ca="1" si="30"/>
        <v>Mr. Rohan Gupta</v>
      </c>
      <c r="C278">
        <f t="shared" ca="1" si="31"/>
        <v>39</v>
      </c>
      <c r="D278" t="str">
        <f t="shared" si="32"/>
        <v>Female</v>
      </c>
      <c r="E278">
        <f t="shared" ca="1" si="33"/>
        <v>1410698</v>
      </c>
      <c r="F278">
        <f t="shared" ca="1" si="34"/>
        <v>195708</v>
      </c>
      <c r="G278">
        <f t="shared" ca="1" si="35"/>
        <v>84</v>
      </c>
      <c r="H278">
        <f t="shared" ca="1" si="36"/>
        <v>410</v>
      </c>
      <c r="I278" t="str">
        <f t="shared" ca="1" si="37"/>
        <v>Student</v>
      </c>
      <c r="J278" t="str">
        <f t="shared" ca="1" si="38"/>
        <v>Home</v>
      </c>
      <c r="K278" t="str">
        <f t="shared" ca="1" si="39"/>
        <v>Approved</v>
      </c>
      <c r="L278">
        <f t="shared" si="26"/>
        <v>971</v>
      </c>
      <c r="M278">
        <f t="shared" ca="1" si="27"/>
        <v>612</v>
      </c>
      <c r="N278">
        <f t="shared" ca="1" si="28"/>
        <v>292</v>
      </c>
      <c r="O278" s="2">
        <f t="shared" ca="1" si="29"/>
        <v>0.63027806385169927</v>
      </c>
    </row>
    <row r="279" spans="1:15" x14ac:dyDescent="0.3">
      <c r="A279" s="3" t="s">
        <v>484</v>
      </c>
      <c r="B279" t="str">
        <f t="shared" ca="1" si="30"/>
        <v>Mr. Suresh Rao</v>
      </c>
      <c r="C279">
        <f t="shared" ca="1" si="31"/>
        <v>39</v>
      </c>
      <c r="D279" t="str">
        <f t="shared" si="32"/>
        <v>Female</v>
      </c>
      <c r="E279">
        <f t="shared" ca="1" si="33"/>
        <v>1186187</v>
      </c>
      <c r="F279">
        <f t="shared" ca="1" si="34"/>
        <v>1826540</v>
      </c>
      <c r="G279">
        <f t="shared" ca="1" si="35"/>
        <v>12</v>
      </c>
      <c r="H279">
        <f t="shared" ca="1" si="36"/>
        <v>648</v>
      </c>
      <c r="I279" t="str">
        <f t="shared" ca="1" si="37"/>
        <v>Student</v>
      </c>
      <c r="J279" t="str">
        <f t="shared" ca="1" si="38"/>
        <v>Home</v>
      </c>
      <c r="K279" t="str">
        <f t="shared" ca="1" si="39"/>
        <v>Rejected</v>
      </c>
      <c r="L279">
        <f t="shared" si="26"/>
        <v>971</v>
      </c>
      <c r="M279">
        <f t="shared" ca="1" si="27"/>
        <v>612</v>
      </c>
      <c r="N279">
        <f t="shared" ca="1" si="28"/>
        <v>292</v>
      </c>
      <c r="O279" s="2">
        <f t="shared" ca="1" si="29"/>
        <v>0.63027806385169927</v>
      </c>
    </row>
    <row r="280" spans="1:15" x14ac:dyDescent="0.3">
      <c r="A280" s="3" t="s">
        <v>485</v>
      </c>
      <c r="B280" t="str">
        <f t="shared" ca="1" si="30"/>
        <v>Mr. Raj Kumar</v>
      </c>
      <c r="C280">
        <f t="shared" ca="1" si="31"/>
        <v>65</v>
      </c>
      <c r="D280" t="str">
        <f t="shared" si="32"/>
        <v>Female</v>
      </c>
      <c r="E280">
        <f t="shared" ca="1" si="33"/>
        <v>877821</v>
      </c>
      <c r="F280">
        <f t="shared" ca="1" si="34"/>
        <v>217465</v>
      </c>
      <c r="G280">
        <f t="shared" ca="1" si="35"/>
        <v>72</v>
      </c>
      <c r="H280">
        <f t="shared" ca="1" si="36"/>
        <v>326</v>
      </c>
      <c r="I280" t="str">
        <f t="shared" ca="1" si="37"/>
        <v>Student</v>
      </c>
      <c r="J280" t="str">
        <f t="shared" ca="1" si="38"/>
        <v>Education</v>
      </c>
      <c r="K280" t="str">
        <f t="shared" ca="1" si="39"/>
        <v>Rejected</v>
      </c>
      <c r="L280">
        <f t="shared" si="26"/>
        <v>971</v>
      </c>
      <c r="M280">
        <f t="shared" ca="1" si="27"/>
        <v>612</v>
      </c>
      <c r="N280">
        <f t="shared" ca="1" si="28"/>
        <v>292</v>
      </c>
      <c r="O280" s="2">
        <f t="shared" ca="1" si="29"/>
        <v>0.63027806385169927</v>
      </c>
    </row>
    <row r="281" spans="1:15" x14ac:dyDescent="0.3">
      <c r="A281" s="3" t="s">
        <v>486</v>
      </c>
      <c r="B281" t="str">
        <f t="shared" ca="1" si="30"/>
        <v>Ms. Kajal Yadav</v>
      </c>
      <c r="C281">
        <f t="shared" ca="1" si="31"/>
        <v>35</v>
      </c>
      <c r="D281" t="str">
        <f t="shared" si="32"/>
        <v>Male</v>
      </c>
      <c r="E281">
        <f t="shared" ca="1" si="33"/>
        <v>471844</v>
      </c>
      <c r="F281">
        <f t="shared" ca="1" si="34"/>
        <v>848356</v>
      </c>
      <c r="G281">
        <f t="shared" ca="1" si="35"/>
        <v>36</v>
      </c>
      <c r="H281">
        <f t="shared" ca="1" si="36"/>
        <v>851</v>
      </c>
      <c r="I281" t="str">
        <f t="shared" ca="1" si="37"/>
        <v>Student</v>
      </c>
      <c r="J281" t="str">
        <f t="shared" ca="1" si="38"/>
        <v>Personal</v>
      </c>
      <c r="K281" t="str">
        <f t="shared" ca="1" si="39"/>
        <v>Rejected</v>
      </c>
      <c r="L281">
        <f t="shared" si="26"/>
        <v>971</v>
      </c>
      <c r="M281">
        <f t="shared" ca="1" si="27"/>
        <v>612</v>
      </c>
      <c r="N281">
        <f t="shared" ca="1" si="28"/>
        <v>292</v>
      </c>
      <c r="O281" s="2">
        <f t="shared" ca="1" si="29"/>
        <v>0.63027806385169927</v>
      </c>
    </row>
    <row r="282" spans="1:15" x14ac:dyDescent="0.3">
      <c r="A282" s="3" t="s">
        <v>487</v>
      </c>
      <c r="B282" t="str">
        <f t="shared" ca="1" si="30"/>
        <v>Mr. Amit Das</v>
      </c>
      <c r="C282">
        <f t="shared" ca="1" si="31"/>
        <v>25</v>
      </c>
      <c r="D282" t="str">
        <f t="shared" si="32"/>
        <v>Male</v>
      </c>
      <c r="E282">
        <f t="shared" ca="1" si="33"/>
        <v>1691996</v>
      </c>
      <c r="F282">
        <f t="shared" ca="1" si="34"/>
        <v>1030223</v>
      </c>
      <c r="G282">
        <f t="shared" ca="1" si="35"/>
        <v>72</v>
      </c>
      <c r="H282">
        <f t="shared" ca="1" si="36"/>
        <v>446</v>
      </c>
      <c r="I282" t="str">
        <f t="shared" ca="1" si="37"/>
        <v>Salaried</v>
      </c>
      <c r="J282" t="str">
        <f t="shared" ca="1" si="38"/>
        <v>Education</v>
      </c>
      <c r="K282" t="str">
        <f t="shared" ca="1" si="39"/>
        <v>Rejected</v>
      </c>
      <c r="L282">
        <f t="shared" si="26"/>
        <v>971</v>
      </c>
      <c r="M282">
        <f t="shared" ca="1" si="27"/>
        <v>612</v>
      </c>
      <c r="N282">
        <f t="shared" ca="1" si="28"/>
        <v>292</v>
      </c>
      <c r="O282" s="2">
        <f t="shared" ca="1" si="29"/>
        <v>0.63027806385169927</v>
      </c>
    </row>
    <row r="283" spans="1:15" x14ac:dyDescent="0.3">
      <c r="A283" s="3" t="s">
        <v>488</v>
      </c>
      <c r="B283" t="str">
        <f t="shared" ca="1" si="30"/>
        <v>Ms. Priya Sharma</v>
      </c>
      <c r="C283">
        <f t="shared" ca="1" si="31"/>
        <v>38</v>
      </c>
      <c r="D283" t="str">
        <f t="shared" si="32"/>
        <v>Male</v>
      </c>
      <c r="E283">
        <f t="shared" ca="1" si="33"/>
        <v>1704530</v>
      </c>
      <c r="F283">
        <f t="shared" ca="1" si="34"/>
        <v>1459417</v>
      </c>
      <c r="G283">
        <f t="shared" ca="1" si="35"/>
        <v>48</v>
      </c>
      <c r="H283">
        <f t="shared" ca="1" si="36"/>
        <v>705</v>
      </c>
      <c r="I283" t="str">
        <f t="shared" ca="1" si="37"/>
        <v>Freelancer</v>
      </c>
      <c r="J283" t="str">
        <f t="shared" ca="1" si="38"/>
        <v>Car</v>
      </c>
      <c r="K283" t="str">
        <f t="shared" ca="1" si="39"/>
        <v>Rejected</v>
      </c>
      <c r="L283">
        <f t="shared" si="26"/>
        <v>971</v>
      </c>
      <c r="M283">
        <f t="shared" ca="1" si="27"/>
        <v>612</v>
      </c>
      <c r="N283">
        <f t="shared" ca="1" si="28"/>
        <v>292</v>
      </c>
      <c r="O283" s="2">
        <f t="shared" ca="1" si="29"/>
        <v>0.63027806385169927</v>
      </c>
    </row>
    <row r="284" spans="1:15" x14ac:dyDescent="0.3">
      <c r="A284" s="3" t="s">
        <v>489</v>
      </c>
      <c r="B284" t="str">
        <f t="shared" ca="1" si="30"/>
        <v>Mr. Amit Das</v>
      </c>
      <c r="C284">
        <f t="shared" ca="1" si="31"/>
        <v>22</v>
      </c>
      <c r="D284" t="str">
        <f t="shared" si="32"/>
        <v>Male</v>
      </c>
      <c r="E284">
        <f t="shared" ca="1" si="33"/>
        <v>1751854</v>
      </c>
      <c r="F284">
        <f t="shared" ca="1" si="34"/>
        <v>757593</v>
      </c>
      <c r="G284">
        <f t="shared" ca="1" si="35"/>
        <v>72</v>
      </c>
      <c r="H284">
        <f t="shared" ca="1" si="36"/>
        <v>674</v>
      </c>
      <c r="I284" t="str">
        <f t="shared" ca="1" si="37"/>
        <v>Salaried</v>
      </c>
      <c r="J284" t="str">
        <f t="shared" ca="1" si="38"/>
        <v>Business</v>
      </c>
      <c r="K284" t="str">
        <f t="shared" ca="1" si="39"/>
        <v>Rejected</v>
      </c>
      <c r="L284">
        <f t="shared" si="26"/>
        <v>971</v>
      </c>
      <c r="M284">
        <f t="shared" ca="1" si="27"/>
        <v>612</v>
      </c>
      <c r="N284">
        <f t="shared" ca="1" si="28"/>
        <v>292</v>
      </c>
      <c r="O284" s="2">
        <f t="shared" ca="1" si="29"/>
        <v>0.63027806385169927</v>
      </c>
    </row>
    <row r="285" spans="1:15" x14ac:dyDescent="0.3">
      <c r="A285" s="3" t="s">
        <v>490</v>
      </c>
      <c r="B285" t="str">
        <f t="shared" ca="1" si="30"/>
        <v>Mr. Amit Das</v>
      </c>
      <c r="C285">
        <f t="shared" ca="1" si="31"/>
        <v>46</v>
      </c>
      <c r="D285" t="str">
        <f t="shared" si="32"/>
        <v>Male</v>
      </c>
      <c r="E285">
        <f t="shared" ca="1" si="33"/>
        <v>1005229</v>
      </c>
      <c r="F285">
        <f t="shared" ca="1" si="34"/>
        <v>392465</v>
      </c>
      <c r="G285">
        <f t="shared" ca="1" si="35"/>
        <v>84</v>
      </c>
      <c r="H285">
        <f t="shared" ca="1" si="36"/>
        <v>512</v>
      </c>
      <c r="I285" t="str">
        <f t="shared" ca="1" si="37"/>
        <v>Self-Employed</v>
      </c>
      <c r="J285" t="str">
        <f t="shared" ca="1" si="38"/>
        <v>Home</v>
      </c>
      <c r="K285" t="str">
        <f t="shared" ca="1" si="39"/>
        <v>Approved</v>
      </c>
      <c r="L285">
        <f t="shared" si="26"/>
        <v>971</v>
      </c>
      <c r="M285">
        <f t="shared" ca="1" si="27"/>
        <v>612</v>
      </c>
      <c r="N285">
        <f t="shared" ca="1" si="28"/>
        <v>292</v>
      </c>
      <c r="O285" s="2">
        <f t="shared" ca="1" si="29"/>
        <v>0.63027806385169927</v>
      </c>
    </row>
    <row r="286" spans="1:15" x14ac:dyDescent="0.3">
      <c r="A286" s="3" t="s">
        <v>491</v>
      </c>
      <c r="B286" t="str">
        <f t="shared" ca="1" si="30"/>
        <v>Ms. Neha Verma</v>
      </c>
      <c r="C286">
        <f t="shared" ca="1" si="31"/>
        <v>24</v>
      </c>
      <c r="D286" t="str">
        <f t="shared" si="32"/>
        <v>Female</v>
      </c>
      <c r="E286">
        <f t="shared" ca="1" si="33"/>
        <v>825252</v>
      </c>
      <c r="F286">
        <f t="shared" ca="1" si="34"/>
        <v>338337</v>
      </c>
      <c r="G286">
        <f t="shared" ca="1" si="35"/>
        <v>36</v>
      </c>
      <c r="H286">
        <f t="shared" ca="1" si="36"/>
        <v>650</v>
      </c>
      <c r="I286" t="str">
        <f t="shared" ca="1" si="37"/>
        <v>Business</v>
      </c>
      <c r="J286" t="str">
        <f t="shared" ca="1" si="38"/>
        <v>Education</v>
      </c>
      <c r="K286" t="str">
        <f t="shared" ca="1" si="39"/>
        <v>Approved</v>
      </c>
      <c r="L286">
        <f t="shared" si="26"/>
        <v>971</v>
      </c>
      <c r="M286">
        <f t="shared" ca="1" si="27"/>
        <v>612</v>
      </c>
      <c r="N286">
        <f t="shared" ca="1" si="28"/>
        <v>292</v>
      </c>
      <c r="O286" s="2">
        <f t="shared" ca="1" si="29"/>
        <v>0.63027806385169927</v>
      </c>
    </row>
    <row r="287" spans="1:15" x14ac:dyDescent="0.3">
      <c r="A287" s="3" t="s">
        <v>492</v>
      </c>
      <c r="B287" t="str">
        <f t="shared" ca="1" si="30"/>
        <v>Ms. Anjali Singh</v>
      </c>
      <c r="C287">
        <f t="shared" ca="1" si="31"/>
        <v>30</v>
      </c>
      <c r="D287" t="str">
        <f t="shared" si="32"/>
        <v>Male</v>
      </c>
      <c r="E287">
        <f t="shared" ca="1" si="33"/>
        <v>1695384</v>
      </c>
      <c r="F287">
        <f t="shared" ca="1" si="34"/>
        <v>1553571</v>
      </c>
      <c r="G287">
        <f t="shared" ca="1" si="35"/>
        <v>84</v>
      </c>
      <c r="H287">
        <f t="shared" ca="1" si="36"/>
        <v>576</v>
      </c>
      <c r="I287" t="str">
        <f t="shared" ca="1" si="37"/>
        <v>Business</v>
      </c>
      <c r="J287" t="str">
        <f t="shared" ca="1" si="38"/>
        <v>Business</v>
      </c>
      <c r="K287" t="str">
        <f t="shared" ca="1" si="39"/>
        <v>Rejected</v>
      </c>
      <c r="L287">
        <f t="shared" si="26"/>
        <v>971</v>
      </c>
      <c r="M287">
        <f t="shared" ca="1" si="27"/>
        <v>612</v>
      </c>
      <c r="N287">
        <f t="shared" ca="1" si="28"/>
        <v>292</v>
      </c>
      <c r="O287" s="2">
        <f t="shared" ca="1" si="29"/>
        <v>0.63027806385169927</v>
      </c>
    </row>
    <row r="288" spans="1:15" x14ac:dyDescent="0.3">
      <c r="A288" s="3" t="s">
        <v>493</v>
      </c>
      <c r="B288" t="str">
        <f t="shared" ca="1" si="30"/>
        <v>Mr. Amit Das</v>
      </c>
      <c r="C288">
        <f t="shared" ca="1" si="31"/>
        <v>27</v>
      </c>
      <c r="D288" t="str">
        <f t="shared" si="32"/>
        <v>Male</v>
      </c>
      <c r="E288">
        <f t="shared" ca="1" si="33"/>
        <v>253527</v>
      </c>
      <c r="F288">
        <f t="shared" ca="1" si="34"/>
        <v>1949836</v>
      </c>
      <c r="G288">
        <f t="shared" ca="1" si="35"/>
        <v>72</v>
      </c>
      <c r="H288">
        <f t="shared" ca="1" si="36"/>
        <v>506</v>
      </c>
      <c r="I288" t="str">
        <f t="shared" ca="1" si="37"/>
        <v>Salaried</v>
      </c>
      <c r="J288" t="str">
        <f t="shared" ca="1" si="38"/>
        <v>Personal</v>
      </c>
      <c r="K288" t="str">
        <f t="shared" ca="1" si="39"/>
        <v>Approved</v>
      </c>
      <c r="L288">
        <f t="shared" si="26"/>
        <v>971</v>
      </c>
      <c r="M288">
        <f t="shared" ca="1" si="27"/>
        <v>612</v>
      </c>
      <c r="N288">
        <f t="shared" ca="1" si="28"/>
        <v>292</v>
      </c>
      <c r="O288" s="2">
        <f t="shared" ca="1" si="29"/>
        <v>0.63027806385169927</v>
      </c>
    </row>
    <row r="289" spans="1:15" x14ac:dyDescent="0.3">
      <c r="A289" s="3" t="s">
        <v>494</v>
      </c>
      <c r="B289" t="str">
        <f t="shared" ca="1" si="30"/>
        <v>Mr. Arun Kumar</v>
      </c>
      <c r="C289">
        <f t="shared" ca="1" si="31"/>
        <v>44</v>
      </c>
      <c r="D289" t="str">
        <f t="shared" si="32"/>
        <v>Female</v>
      </c>
      <c r="E289">
        <f t="shared" ca="1" si="33"/>
        <v>1946173</v>
      </c>
      <c r="F289">
        <f t="shared" ca="1" si="34"/>
        <v>324416</v>
      </c>
      <c r="G289">
        <f t="shared" ca="1" si="35"/>
        <v>12</v>
      </c>
      <c r="H289">
        <f t="shared" ca="1" si="36"/>
        <v>858</v>
      </c>
      <c r="I289" t="str">
        <f t="shared" ca="1" si="37"/>
        <v>Contract-Based</v>
      </c>
      <c r="J289" t="str">
        <f t="shared" ca="1" si="38"/>
        <v>Personal</v>
      </c>
      <c r="K289" t="str">
        <f t="shared" ca="1" si="39"/>
        <v>Approved</v>
      </c>
      <c r="L289">
        <f t="shared" si="26"/>
        <v>971</v>
      </c>
      <c r="M289">
        <f t="shared" ca="1" si="27"/>
        <v>612</v>
      </c>
      <c r="N289">
        <f t="shared" ca="1" si="28"/>
        <v>292</v>
      </c>
      <c r="O289" s="2">
        <f t="shared" ca="1" si="29"/>
        <v>0.63027806385169927</v>
      </c>
    </row>
    <row r="290" spans="1:15" x14ac:dyDescent="0.3">
      <c r="A290" s="3" t="s">
        <v>495</v>
      </c>
      <c r="B290" t="str">
        <f t="shared" ca="1" si="30"/>
        <v>Mr. Raj Kumar</v>
      </c>
      <c r="C290">
        <f t="shared" ca="1" si="31"/>
        <v>41</v>
      </c>
      <c r="D290" t="str">
        <f t="shared" si="32"/>
        <v>Female</v>
      </c>
      <c r="E290">
        <f t="shared" ca="1" si="33"/>
        <v>1236732</v>
      </c>
      <c r="F290">
        <f t="shared" ca="1" si="34"/>
        <v>2028326</v>
      </c>
      <c r="G290">
        <f t="shared" ca="1" si="35"/>
        <v>84</v>
      </c>
      <c r="H290">
        <f t="shared" ca="1" si="36"/>
        <v>842</v>
      </c>
      <c r="I290" t="str">
        <f t="shared" ca="1" si="37"/>
        <v>Business</v>
      </c>
      <c r="J290" t="str">
        <f t="shared" ca="1" si="38"/>
        <v>Business</v>
      </c>
      <c r="K290" t="str">
        <f t="shared" ca="1" si="39"/>
        <v>Rejected</v>
      </c>
      <c r="L290">
        <f t="shared" si="26"/>
        <v>971</v>
      </c>
      <c r="M290">
        <f t="shared" ca="1" si="27"/>
        <v>612</v>
      </c>
      <c r="N290">
        <f t="shared" ca="1" si="28"/>
        <v>292</v>
      </c>
      <c r="O290" s="2">
        <f t="shared" ca="1" si="29"/>
        <v>0.63027806385169927</v>
      </c>
    </row>
    <row r="291" spans="1:15" x14ac:dyDescent="0.3">
      <c r="A291" s="3" t="s">
        <v>496</v>
      </c>
      <c r="B291" t="str">
        <f t="shared" ca="1" si="30"/>
        <v>Ms. Pooja Patel</v>
      </c>
      <c r="C291">
        <f t="shared" ca="1" si="31"/>
        <v>46</v>
      </c>
      <c r="D291" t="str">
        <f t="shared" si="32"/>
        <v>Female</v>
      </c>
      <c r="E291">
        <f t="shared" ca="1" si="33"/>
        <v>673201</v>
      </c>
      <c r="F291">
        <f t="shared" ca="1" si="34"/>
        <v>1362635</v>
      </c>
      <c r="G291">
        <f t="shared" ca="1" si="35"/>
        <v>84</v>
      </c>
      <c r="H291">
        <f t="shared" ca="1" si="36"/>
        <v>635</v>
      </c>
      <c r="I291" t="str">
        <f t="shared" ca="1" si="37"/>
        <v>Self-Employed</v>
      </c>
      <c r="J291" t="str">
        <f t="shared" ca="1" si="38"/>
        <v>Education</v>
      </c>
      <c r="K291" t="str">
        <f t="shared" ca="1" si="39"/>
        <v>Approved</v>
      </c>
      <c r="L291">
        <f t="shared" si="26"/>
        <v>971</v>
      </c>
      <c r="M291">
        <f t="shared" ca="1" si="27"/>
        <v>612</v>
      </c>
      <c r="N291">
        <f t="shared" ca="1" si="28"/>
        <v>292</v>
      </c>
      <c r="O291" s="2">
        <f t="shared" ca="1" si="29"/>
        <v>0.63027806385169927</v>
      </c>
    </row>
    <row r="292" spans="1:15" x14ac:dyDescent="0.3">
      <c r="A292" s="3" t="s">
        <v>497</v>
      </c>
      <c r="B292" t="str">
        <f t="shared" ca="1" si="30"/>
        <v>Ms. Anjali Singh</v>
      </c>
      <c r="C292">
        <f t="shared" ca="1" si="31"/>
        <v>47</v>
      </c>
      <c r="D292" t="str">
        <f t="shared" si="32"/>
        <v>Female</v>
      </c>
      <c r="E292">
        <f t="shared" ca="1" si="33"/>
        <v>1208436</v>
      </c>
      <c r="F292">
        <f t="shared" ca="1" si="34"/>
        <v>1960612</v>
      </c>
      <c r="G292">
        <f t="shared" ca="1" si="35"/>
        <v>24</v>
      </c>
      <c r="H292">
        <f t="shared" ca="1" si="36"/>
        <v>555</v>
      </c>
      <c r="I292" t="str">
        <f t="shared" ca="1" si="37"/>
        <v>Business</v>
      </c>
      <c r="J292" t="str">
        <f t="shared" ca="1" si="38"/>
        <v>Home</v>
      </c>
      <c r="K292" t="str">
        <f t="shared" ca="1" si="39"/>
        <v>Approved</v>
      </c>
      <c r="L292">
        <f t="shared" si="26"/>
        <v>971</v>
      </c>
      <c r="M292">
        <f t="shared" ca="1" si="27"/>
        <v>612</v>
      </c>
      <c r="N292">
        <f t="shared" ca="1" si="28"/>
        <v>292</v>
      </c>
      <c r="O292" s="2">
        <f t="shared" ca="1" si="29"/>
        <v>0.63027806385169927</v>
      </c>
    </row>
    <row r="293" spans="1:15" x14ac:dyDescent="0.3">
      <c r="A293" s="3" t="s">
        <v>498</v>
      </c>
      <c r="B293" t="str">
        <f t="shared" ca="1" si="30"/>
        <v>Ms. Priya Sharma</v>
      </c>
      <c r="C293">
        <f t="shared" ca="1" si="31"/>
        <v>63</v>
      </c>
      <c r="D293" t="str">
        <f t="shared" si="32"/>
        <v>Female</v>
      </c>
      <c r="E293">
        <f t="shared" ca="1" si="33"/>
        <v>1934121</v>
      </c>
      <c r="F293">
        <f t="shared" ca="1" si="34"/>
        <v>1091723</v>
      </c>
      <c r="G293">
        <f t="shared" ca="1" si="35"/>
        <v>48</v>
      </c>
      <c r="H293">
        <f t="shared" ca="1" si="36"/>
        <v>589</v>
      </c>
      <c r="I293" t="str">
        <f t="shared" ca="1" si="37"/>
        <v>Self-Employed</v>
      </c>
      <c r="J293" t="str">
        <f t="shared" ca="1" si="38"/>
        <v>Home</v>
      </c>
      <c r="K293" t="str">
        <f t="shared" ca="1" si="39"/>
        <v>Rejected</v>
      </c>
      <c r="L293">
        <f t="shared" si="26"/>
        <v>971</v>
      </c>
      <c r="M293">
        <f t="shared" ca="1" si="27"/>
        <v>612</v>
      </c>
      <c r="N293">
        <f t="shared" ca="1" si="28"/>
        <v>292</v>
      </c>
      <c r="O293" s="2">
        <f t="shared" ca="1" si="29"/>
        <v>0.63027806385169927</v>
      </c>
    </row>
    <row r="294" spans="1:15" x14ac:dyDescent="0.3">
      <c r="A294" s="3" t="s">
        <v>499</v>
      </c>
      <c r="B294" t="str">
        <f t="shared" ca="1" si="30"/>
        <v>Mr. Raj Kumar</v>
      </c>
      <c r="C294">
        <f t="shared" ca="1" si="31"/>
        <v>24</v>
      </c>
      <c r="D294" t="str">
        <f t="shared" si="32"/>
        <v>Female</v>
      </c>
      <c r="E294">
        <f t="shared" ca="1" si="33"/>
        <v>566826</v>
      </c>
      <c r="F294">
        <f t="shared" ca="1" si="34"/>
        <v>739765</v>
      </c>
      <c r="G294">
        <f t="shared" ca="1" si="35"/>
        <v>24</v>
      </c>
      <c r="H294">
        <f t="shared" ca="1" si="36"/>
        <v>847</v>
      </c>
      <c r="I294" t="str">
        <f t="shared" ca="1" si="37"/>
        <v>Student</v>
      </c>
      <c r="J294" t="str">
        <f t="shared" ca="1" si="38"/>
        <v>Business</v>
      </c>
      <c r="K294" t="str">
        <f t="shared" ca="1" si="39"/>
        <v>Approved</v>
      </c>
      <c r="L294">
        <f t="shared" si="26"/>
        <v>971</v>
      </c>
      <c r="M294">
        <f t="shared" ca="1" si="27"/>
        <v>612</v>
      </c>
      <c r="N294">
        <f t="shared" ca="1" si="28"/>
        <v>292</v>
      </c>
      <c r="O294" s="2">
        <f t="shared" ca="1" si="29"/>
        <v>0.63027806385169927</v>
      </c>
    </row>
    <row r="295" spans="1:15" x14ac:dyDescent="0.3">
      <c r="A295" s="3" t="s">
        <v>500</v>
      </c>
      <c r="B295" t="str">
        <f t="shared" ca="1" si="30"/>
        <v>Ms. Neha Verma</v>
      </c>
      <c r="C295">
        <f t="shared" ca="1" si="31"/>
        <v>59</v>
      </c>
      <c r="D295" t="str">
        <f t="shared" si="32"/>
        <v>Male</v>
      </c>
      <c r="E295">
        <f t="shared" ca="1" si="33"/>
        <v>1928637</v>
      </c>
      <c r="F295">
        <f t="shared" ca="1" si="34"/>
        <v>178469</v>
      </c>
      <c r="G295">
        <f t="shared" ca="1" si="35"/>
        <v>84</v>
      </c>
      <c r="H295">
        <f t="shared" ca="1" si="36"/>
        <v>796</v>
      </c>
      <c r="I295" t="str">
        <f t="shared" ca="1" si="37"/>
        <v>Salaried</v>
      </c>
      <c r="J295" t="str">
        <f t="shared" ca="1" si="38"/>
        <v>Business</v>
      </c>
      <c r="K295" t="str">
        <f t="shared" ca="1" si="39"/>
        <v>Rejected</v>
      </c>
      <c r="L295">
        <f t="shared" si="26"/>
        <v>971</v>
      </c>
      <c r="M295">
        <f t="shared" ca="1" si="27"/>
        <v>612</v>
      </c>
      <c r="N295">
        <f t="shared" ca="1" si="28"/>
        <v>292</v>
      </c>
      <c r="O295" s="2">
        <f t="shared" ca="1" si="29"/>
        <v>0.63027806385169927</v>
      </c>
    </row>
    <row r="296" spans="1:15" x14ac:dyDescent="0.3">
      <c r="A296" s="3" t="s">
        <v>501</v>
      </c>
      <c r="B296" t="str">
        <f t="shared" ca="1" si="30"/>
        <v>Mr. Arun Kumar</v>
      </c>
      <c r="C296">
        <f t="shared" ca="1" si="31"/>
        <v>21</v>
      </c>
      <c r="D296" t="str">
        <f t="shared" si="32"/>
        <v>Female</v>
      </c>
      <c r="E296">
        <f t="shared" ca="1" si="33"/>
        <v>1109363</v>
      </c>
      <c r="F296">
        <f t="shared" ca="1" si="34"/>
        <v>1312954</v>
      </c>
      <c r="G296">
        <f t="shared" ca="1" si="35"/>
        <v>12</v>
      </c>
      <c r="H296">
        <f t="shared" ca="1" si="36"/>
        <v>893</v>
      </c>
      <c r="I296" t="str">
        <f t="shared" ca="1" si="37"/>
        <v>Freelancer</v>
      </c>
      <c r="J296" t="str">
        <f t="shared" ca="1" si="38"/>
        <v>Education</v>
      </c>
      <c r="K296" t="str">
        <f t="shared" ca="1" si="39"/>
        <v>Approved</v>
      </c>
      <c r="L296">
        <f t="shared" si="26"/>
        <v>971</v>
      </c>
      <c r="M296">
        <f t="shared" ca="1" si="27"/>
        <v>612</v>
      </c>
      <c r="N296">
        <f t="shared" ca="1" si="28"/>
        <v>292</v>
      </c>
      <c r="O296" s="2">
        <f t="shared" ca="1" si="29"/>
        <v>0.63027806385169927</v>
      </c>
    </row>
    <row r="297" spans="1:15" x14ac:dyDescent="0.3">
      <c r="A297" s="3" t="s">
        <v>502</v>
      </c>
      <c r="B297" t="str">
        <f t="shared" ca="1" si="30"/>
        <v>Mr. Arun Kumar</v>
      </c>
      <c r="C297">
        <f t="shared" ca="1" si="31"/>
        <v>23</v>
      </c>
      <c r="D297" t="str">
        <f t="shared" si="32"/>
        <v>Female</v>
      </c>
      <c r="E297">
        <f t="shared" ca="1" si="33"/>
        <v>972060</v>
      </c>
      <c r="F297">
        <f t="shared" ca="1" si="34"/>
        <v>561641</v>
      </c>
      <c r="G297">
        <f t="shared" ca="1" si="35"/>
        <v>24</v>
      </c>
      <c r="H297">
        <f t="shared" ca="1" si="36"/>
        <v>667</v>
      </c>
      <c r="I297" t="str">
        <f t="shared" ca="1" si="37"/>
        <v>Salaried</v>
      </c>
      <c r="J297" t="str">
        <f t="shared" ca="1" si="38"/>
        <v>Business</v>
      </c>
      <c r="K297" t="str">
        <f t="shared" ca="1" si="39"/>
        <v>Rejected</v>
      </c>
      <c r="L297">
        <f t="shared" si="26"/>
        <v>971</v>
      </c>
      <c r="M297">
        <f t="shared" ca="1" si="27"/>
        <v>612</v>
      </c>
      <c r="N297">
        <f t="shared" ca="1" si="28"/>
        <v>292</v>
      </c>
      <c r="O297" s="2">
        <f t="shared" ca="1" si="29"/>
        <v>0.63027806385169927</v>
      </c>
    </row>
    <row r="298" spans="1:15" x14ac:dyDescent="0.3">
      <c r="A298" s="3" t="s">
        <v>503</v>
      </c>
      <c r="B298" t="str">
        <f t="shared" ca="1" si="30"/>
        <v>Ms. Priya Sharma</v>
      </c>
      <c r="C298">
        <f t="shared" ca="1" si="31"/>
        <v>26</v>
      </c>
      <c r="D298" t="str">
        <f t="shared" si="32"/>
        <v>Female</v>
      </c>
      <c r="E298">
        <f t="shared" ca="1" si="33"/>
        <v>868361</v>
      </c>
      <c r="F298">
        <f t="shared" ca="1" si="34"/>
        <v>2401460</v>
      </c>
      <c r="G298">
        <f t="shared" ca="1" si="35"/>
        <v>84</v>
      </c>
      <c r="H298">
        <f t="shared" ca="1" si="36"/>
        <v>631</v>
      </c>
      <c r="I298" t="str">
        <f t="shared" ca="1" si="37"/>
        <v>Self-Employed</v>
      </c>
      <c r="J298" t="str">
        <f t="shared" ca="1" si="38"/>
        <v>Business</v>
      </c>
      <c r="K298" t="str">
        <f t="shared" ca="1" si="39"/>
        <v>Rejected</v>
      </c>
      <c r="L298">
        <f t="shared" si="26"/>
        <v>971</v>
      </c>
      <c r="M298">
        <f t="shared" ca="1" si="27"/>
        <v>612</v>
      </c>
      <c r="N298">
        <f t="shared" ca="1" si="28"/>
        <v>292</v>
      </c>
      <c r="O298" s="2">
        <f t="shared" ca="1" si="29"/>
        <v>0.63027806385169927</v>
      </c>
    </row>
    <row r="299" spans="1:15" x14ac:dyDescent="0.3">
      <c r="A299" s="3" t="s">
        <v>504</v>
      </c>
      <c r="B299" t="str">
        <f t="shared" ca="1" si="30"/>
        <v>Mr. Amit Das</v>
      </c>
      <c r="C299">
        <f t="shared" ca="1" si="31"/>
        <v>46</v>
      </c>
      <c r="D299" t="str">
        <f t="shared" si="32"/>
        <v>Male</v>
      </c>
      <c r="E299">
        <f t="shared" ca="1" si="33"/>
        <v>1004012</v>
      </c>
      <c r="F299">
        <f t="shared" ca="1" si="34"/>
        <v>1742520</v>
      </c>
      <c r="G299">
        <f t="shared" ca="1" si="35"/>
        <v>48</v>
      </c>
      <c r="H299">
        <f t="shared" ca="1" si="36"/>
        <v>716</v>
      </c>
      <c r="I299" t="str">
        <f t="shared" ca="1" si="37"/>
        <v>Contract-Based</v>
      </c>
      <c r="J299" t="str">
        <f t="shared" ca="1" si="38"/>
        <v>Home</v>
      </c>
      <c r="K299" t="str">
        <f t="shared" ca="1" si="39"/>
        <v>Approved</v>
      </c>
      <c r="L299">
        <f t="shared" si="26"/>
        <v>971</v>
      </c>
      <c r="M299">
        <f t="shared" ca="1" si="27"/>
        <v>612</v>
      </c>
      <c r="N299">
        <f t="shared" ca="1" si="28"/>
        <v>292</v>
      </c>
      <c r="O299" s="2">
        <f t="shared" ca="1" si="29"/>
        <v>0.63027806385169927</v>
      </c>
    </row>
    <row r="300" spans="1:15" x14ac:dyDescent="0.3">
      <c r="A300" s="3" t="s">
        <v>505</v>
      </c>
      <c r="B300" t="str">
        <f t="shared" ca="1" si="30"/>
        <v>Mr. Amit Das</v>
      </c>
      <c r="C300">
        <f t="shared" ca="1" si="31"/>
        <v>31</v>
      </c>
      <c r="D300" t="str">
        <f t="shared" si="32"/>
        <v>Female</v>
      </c>
      <c r="E300">
        <f t="shared" ca="1" si="33"/>
        <v>418664</v>
      </c>
      <c r="F300">
        <f t="shared" ca="1" si="34"/>
        <v>2208189</v>
      </c>
      <c r="G300">
        <f t="shared" ca="1" si="35"/>
        <v>24</v>
      </c>
      <c r="H300">
        <f t="shared" ca="1" si="36"/>
        <v>458</v>
      </c>
      <c r="I300" t="str">
        <f t="shared" ca="1" si="37"/>
        <v>Contract-Based</v>
      </c>
      <c r="J300" t="str">
        <f t="shared" ca="1" si="38"/>
        <v>Home</v>
      </c>
      <c r="K300" t="str">
        <f t="shared" ca="1" si="39"/>
        <v>Approved</v>
      </c>
      <c r="L300">
        <f t="shared" si="26"/>
        <v>971</v>
      </c>
      <c r="M300">
        <f t="shared" ca="1" si="27"/>
        <v>612</v>
      </c>
      <c r="N300">
        <f t="shared" ca="1" si="28"/>
        <v>292</v>
      </c>
      <c r="O300" s="2">
        <f t="shared" ca="1" si="29"/>
        <v>0.63027806385169927</v>
      </c>
    </row>
    <row r="301" spans="1:15" x14ac:dyDescent="0.3">
      <c r="A301" s="3" t="s">
        <v>506</v>
      </c>
      <c r="B301" t="str">
        <f t="shared" ca="1" si="30"/>
        <v>Ms. Priya Sharma</v>
      </c>
      <c r="C301">
        <f t="shared" ca="1" si="31"/>
        <v>53</v>
      </c>
      <c r="D301" t="str">
        <f t="shared" si="32"/>
        <v>Male</v>
      </c>
      <c r="E301">
        <f t="shared" ca="1" si="33"/>
        <v>1121578</v>
      </c>
      <c r="F301">
        <f t="shared" ca="1" si="34"/>
        <v>2131176</v>
      </c>
      <c r="G301">
        <f t="shared" ca="1" si="35"/>
        <v>48</v>
      </c>
      <c r="H301">
        <f t="shared" ca="1" si="36"/>
        <v>315</v>
      </c>
      <c r="I301" t="str">
        <f t="shared" ca="1" si="37"/>
        <v>Salaried</v>
      </c>
      <c r="J301" t="str">
        <f t="shared" ca="1" si="38"/>
        <v>Education</v>
      </c>
      <c r="K301" t="str">
        <f t="shared" ca="1" si="39"/>
        <v>Rejected</v>
      </c>
      <c r="L301">
        <f t="shared" si="26"/>
        <v>971</v>
      </c>
      <c r="M301">
        <f t="shared" ca="1" si="27"/>
        <v>612</v>
      </c>
      <c r="N301">
        <f t="shared" ca="1" si="28"/>
        <v>292</v>
      </c>
      <c r="O301" s="2">
        <f t="shared" ca="1" si="29"/>
        <v>0.63027806385169927</v>
      </c>
    </row>
    <row r="302" spans="1:15" x14ac:dyDescent="0.3">
      <c r="A302" s="3" t="s">
        <v>507</v>
      </c>
      <c r="B302" t="str">
        <f t="shared" ca="1" si="30"/>
        <v>Mr. Suresh Rao</v>
      </c>
      <c r="C302">
        <f t="shared" ca="1" si="31"/>
        <v>61</v>
      </c>
      <c r="D302" t="str">
        <f t="shared" si="32"/>
        <v>Female</v>
      </c>
      <c r="E302">
        <f t="shared" ca="1" si="33"/>
        <v>822033</v>
      </c>
      <c r="F302">
        <f t="shared" ca="1" si="34"/>
        <v>2191629</v>
      </c>
      <c r="G302">
        <f t="shared" ca="1" si="35"/>
        <v>84</v>
      </c>
      <c r="H302">
        <f t="shared" ca="1" si="36"/>
        <v>695</v>
      </c>
      <c r="I302" t="str">
        <f t="shared" ca="1" si="37"/>
        <v>Student</v>
      </c>
      <c r="J302" t="str">
        <f t="shared" ca="1" si="38"/>
        <v>Home</v>
      </c>
      <c r="K302" t="str">
        <f t="shared" ca="1" si="39"/>
        <v>Rejected</v>
      </c>
      <c r="L302">
        <f t="shared" si="26"/>
        <v>971</v>
      </c>
      <c r="M302">
        <f t="shared" ca="1" si="27"/>
        <v>612</v>
      </c>
      <c r="N302">
        <f t="shared" ca="1" si="28"/>
        <v>292</v>
      </c>
      <c r="O302" s="2">
        <f t="shared" ca="1" si="29"/>
        <v>0.63027806385169927</v>
      </c>
    </row>
    <row r="303" spans="1:15" x14ac:dyDescent="0.3">
      <c r="A303" s="3" t="s">
        <v>508</v>
      </c>
      <c r="B303" t="str">
        <f t="shared" ca="1" si="30"/>
        <v>Ms. Neha Verma</v>
      </c>
      <c r="C303">
        <f t="shared" ca="1" si="31"/>
        <v>49</v>
      </c>
      <c r="D303" t="str">
        <f t="shared" si="32"/>
        <v>Female</v>
      </c>
      <c r="E303">
        <f t="shared" ca="1" si="33"/>
        <v>1121779</v>
      </c>
      <c r="F303">
        <f t="shared" ca="1" si="34"/>
        <v>204899</v>
      </c>
      <c r="G303">
        <f t="shared" ca="1" si="35"/>
        <v>72</v>
      </c>
      <c r="H303">
        <f t="shared" ca="1" si="36"/>
        <v>561</v>
      </c>
      <c r="I303" t="str">
        <f t="shared" ca="1" si="37"/>
        <v>Business</v>
      </c>
      <c r="J303" t="str">
        <f t="shared" ca="1" si="38"/>
        <v>Business</v>
      </c>
      <c r="K303" t="str">
        <f t="shared" ca="1" si="39"/>
        <v>Rejected</v>
      </c>
      <c r="L303">
        <f t="shared" si="26"/>
        <v>971</v>
      </c>
      <c r="M303">
        <f t="shared" ca="1" si="27"/>
        <v>612</v>
      </c>
      <c r="N303">
        <f t="shared" ca="1" si="28"/>
        <v>292</v>
      </c>
      <c r="O303" s="2">
        <f t="shared" ca="1" si="29"/>
        <v>0.63027806385169927</v>
      </c>
    </row>
    <row r="304" spans="1:15" x14ac:dyDescent="0.3">
      <c r="A304" s="3" t="s">
        <v>509</v>
      </c>
      <c r="B304" t="str">
        <f t="shared" ca="1" si="30"/>
        <v>Mr. Amit Das</v>
      </c>
      <c r="C304">
        <f t="shared" ca="1" si="31"/>
        <v>42</v>
      </c>
      <c r="D304" t="str">
        <f t="shared" si="32"/>
        <v>Female</v>
      </c>
      <c r="E304">
        <f t="shared" ca="1" si="33"/>
        <v>1350542</v>
      </c>
      <c r="F304">
        <f t="shared" ca="1" si="34"/>
        <v>650711</v>
      </c>
      <c r="G304">
        <f t="shared" ca="1" si="35"/>
        <v>60</v>
      </c>
      <c r="H304">
        <f t="shared" ca="1" si="36"/>
        <v>561</v>
      </c>
      <c r="I304" t="str">
        <f t="shared" ca="1" si="37"/>
        <v>Contract-Based</v>
      </c>
      <c r="J304" t="str">
        <f t="shared" ca="1" si="38"/>
        <v>Education</v>
      </c>
      <c r="K304" t="str">
        <f t="shared" ca="1" si="39"/>
        <v>Approved</v>
      </c>
      <c r="L304">
        <f t="shared" si="26"/>
        <v>971</v>
      </c>
      <c r="M304">
        <f t="shared" ca="1" si="27"/>
        <v>612</v>
      </c>
      <c r="N304">
        <f t="shared" ca="1" si="28"/>
        <v>292</v>
      </c>
      <c r="O304" s="2">
        <f t="shared" ca="1" si="29"/>
        <v>0.63027806385169927</v>
      </c>
    </row>
    <row r="305" spans="1:15" x14ac:dyDescent="0.3">
      <c r="A305" s="3" t="s">
        <v>510</v>
      </c>
      <c r="B305" t="str">
        <f t="shared" ca="1" si="30"/>
        <v>Mr. Raj Kumar</v>
      </c>
      <c r="C305">
        <f t="shared" ca="1" si="31"/>
        <v>34</v>
      </c>
      <c r="D305" t="str">
        <f t="shared" si="32"/>
        <v>Male</v>
      </c>
      <c r="E305">
        <f t="shared" ca="1" si="33"/>
        <v>350074</v>
      </c>
      <c r="F305">
        <f t="shared" ca="1" si="34"/>
        <v>219326</v>
      </c>
      <c r="G305">
        <f t="shared" ca="1" si="35"/>
        <v>60</v>
      </c>
      <c r="H305">
        <f t="shared" ca="1" si="36"/>
        <v>823</v>
      </c>
      <c r="I305" t="str">
        <f t="shared" ca="1" si="37"/>
        <v>Contract-Based</v>
      </c>
      <c r="J305" t="str">
        <f t="shared" ca="1" si="38"/>
        <v>Personal</v>
      </c>
      <c r="K305" t="str">
        <f t="shared" ca="1" si="39"/>
        <v>Approved</v>
      </c>
      <c r="L305">
        <f t="shared" si="26"/>
        <v>971</v>
      </c>
      <c r="M305">
        <f t="shared" ca="1" si="27"/>
        <v>612</v>
      </c>
      <c r="N305">
        <f t="shared" ca="1" si="28"/>
        <v>292</v>
      </c>
      <c r="O305" s="2">
        <f t="shared" ca="1" si="29"/>
        <v>0.63027806385169927</v>
      </c>
    </row>
    <row r="306" spans="1:15" x14ac:dyDescent="0.3">
      <c r="A306" s="3" t="s">
        <v>511</v>
      </c>
      <c r="B306" t="str">
        <f t="shared" ca="1" si="30"/>
        <v>Ms. Priya Sharma</v>
      </c>
      <c r="C306">
        <f t="shared" ca="1" si="31"/>
        <v>25</v>
      </c>
      <c r="D306" t="str">
        <f t="shared" si="32"/>
        <v>Male</v>
      </c>
      <c r="E306">
        <f t="shared" ca="1" si="33"/>
        <v>1375228</v>
      </c>
      <c r="F306">
        <f t="shared" ca="1" si="34"/>
        <v>302860</v>
      </c>
      <c r="G306">
        <f t="shared" ca="1" si="35"/>
        <v>12</v>
      </c>
      <c r="H306">
        <f t="shared" ca="1" si="36"/>
        <v>839</v>
      </c>
      <c r="I306" t="str">
        <f t="shared" ca="1" si="37"/>
        <v>Contract-Based</v>
      </c>
      <c r="J306" t="str">
        <f t="shared" ca="1" si="38"/>
        <v>Car</v>
      </c>
      <c r="K306" t="str">
        <f t="shared" ca="1" si="39"/>
        <v>Approved</v>
      </c>
      <c r="L306">
        <f t="shared" si="26"/>
        <v>971</v>
      </c>
      <c r="M306">
        <f t="shared" ca="1" si="27"/>
        <v>612</v>
      </c>
      <c r="N306">
        <f t="shared" ca="1" si="28"/>
        <v>292</v>
      </c>
      <c r="O306" s="2">
        <f t="shared" ca="1" si="29"/>
        <v>0.63027806385169927</v>
      </c>
    </row>
    <row r="307" spans="1:15" x14ac:dyDescent="0.3">
      <c r="A307" s="3" t="s">
        <v>512</v>
      </c>
      <c r="B307" t="str">
        <f t="shared" ca="1" si="30"/>
        <v>Mr. Rohan Gupta</v>
      </c>
      <c r="C307">
        <f t="shared" ca="1" si="31"/>
        <v>65</v>
      </c>
      <c r="D307" t="str">
        <f t="shared" si="32"/>
        <v>Male</v>
      </c>
      <c r="E307">
        <f t="shared" ca="1" si="33"/>
        <v>1672885</v>
      </c>
      <c r="F307">
        <f t="shared" ca="1" si="34"/>
        <v>1694768</v>
      </c>
      <c r="G307">
        <f t="shared" ca="1" si="35"/>
        <v>72</v>
      </c>
      <c r="H307">
        <f t="shared" ca="1" si="36"/>
        <v>445</v>
      </c>
      <c r="I307" t="str">
        <f t="shared" ca="1" si="37"/>
        <v>Student</v>
      </c>
      <c r="J307" t="str">
        <f t="shared" ca="1" si="38"/>
        <v>Business</v>
      </c>
      <c r="K307" t="str">
        <f t="shared" ca="1" si="39"/>
        <v>Rejected</v>
      </c>
      <c r="L307">
        <f t="shared" si="26"/>
        <v>971</v>
      </c>
      <c r="M307">
        <f t="shared" ca="1" si="27"/>
        <v>612</v>
      </c>
      <c r="N307">
        <f t="shared" ca="1" si="28"/>
        <v>292</v>
      </c>
      <c r="O307" s="2">
        <f t="shared" ca="1" si="29"/>
        <v>0.63027806385169927</v>
      </c>
    </row>
    <row r="308" spans="1:15" x14ac:dyDescent="0.3">
      <c r="A308" s="3" t="s">
        <v>513</v>
      </c>
      <c r="B308" t="str">
        <f t="shared" ca="1" si="30"/>
        <v>Ms. Anjali Singh</v>
      </c>
      <c r="C308">
        <f t="shared" ca="1" si="31"/>
        <v>37</v>
      </c>
      <c r="D308" t="str">
        <f t="shared" si="32"/>
        <v>Male</v>
      </c>
      <c r="E308">
        <f t="shared" ca="1" si="33"/>
        <v>207967</v>
      </c>
      <c r="F308">
        <f t="shared" ca="1" si="34"/>
        <v>220648</v>
      </c>
      <c r="G308">
        <f t="shared" ca="1" si="35"/>
        <v>72</v>
      </c>
      <c r="H308">
        <f t="shared" ca="1" si="36"/>
        <v>388</v>
      </c>
      <c r="I308" t="str">
        <f t="shared" ca="1" si="37"/>
        <v>Student</v>
      </c>
      <c r="J308" t="str">
        <f t="shared" ca="1" si="38"/>
        <v>Business</v>
      </c>
      <c r="K308" t="str">
        <f t="shared" ca="1" si="39"/>
        <v>Approved</v>
      </c>
      <c r="L308">
        <f t="shared" si="26"/>
        <v>971</v>
      </c>
      <c r="M308">
        <f t="shared" ca="1" si="27"/>
        <v>612</v>
      </c>
      <c r="N308">
        <f t="shared" ca="1" si="28"/>
        <v>292</v>
      </c>
      <c r="O308" s="2">
        <f t="shared" ca="1" si="29"/>
        <v>0.63027806385169927</v>
      </c>
    </row>
    <row r="309" spans="1:15" x14ac:dyDescent="0.3">
      <c r="A309" s="3" t="s">
        <v>514</v>
      </c>
      <c r="B309" t="str">
        <f t="shared" ca="1" si="30"/>
        <v>Ms. Pooja Patel</v>
      </c>
      <c r="C309">
        <f t="shared" ca="1" si="31"/>
        <v>40</v>
      </c>
      <c r="D309" t="str">
        <f t="shared" si="32"/>
        <v>Female</v>
      </c>
      <c r="E309">
        <f t="shared" ca="1" si="33"/>
        <v>1986107</v>
      </c>
      <c r="F309">
        <f t="shared" ca="1" si="34"/>
        <v>380772</v>
      </c>
      <c r="G309">
        <f t="shared" ca="1" si="35"/>
        <v>36</v>
      </c>
      <c r="H309">
        <f t="shared" ca="1" si="36"/>
        <v>590</v>
      </c>
      <c r="I309" t="str">
        <f t="shared" ca="1" si="37"/>
        <v>Student</v>
      </c>
      <c r="J309" t="str">
        <f t="shared" ca="1" si="38"/>
        <v>Car</v>
      </c>
      <c r="K309" t="str">
        <f t="shared" ca="1" si="39"/>
        <v>Approved</v>
      </c>
      <c r="L309">
        <f t="shared" si="26"/>
        <v>971</v>
      </c>
      <c r="M309">
        <f t="shared" ca="1" si="27"/>
        <v>612</v>
      </c>
      <c r="N309">
        <f t="shared" ca="1" si="28"/>
        <v>292</v>
      </c>
      <c r="O309" s="2">
        <f t="shared" ca="1" si="29"/>
        <v>0.63027806385169927</v>
      </c>
    </row>
    <row r="310" spans="1:15" x14ac:dyDescent="0.3">
      <c r="A310" s="3" t="s">
        <v>515</v>
      </c>
      <c r="B310" t="str">
        <f t="shared" ca="1" si="30"/>
        <v>Mr. Raj Kumar</v>
      </c>
      <c r="C310">
        <f t="shared" ca="1" si="31"/>
        <v>62</v>
      </c>
      <c r="D310" t="str">
        <f t="shared" si="32"/>
        <v>Female</v>
      </c>
      <c r="E310">
        <f t="shared" ca="1" si="33"/>
        <v>945942</v>
      </c>
      <c r="F310">
        <f t="shared" ca="1" si="34"/>
        <v>1348754</v>
      </c>
      <c r="G310">
        <f t="shared" ca="1" si="35"/>
        <v>24</v>
      </c>
      <c r="H310">
        <f t="shared" ca="1" si="36"/>
        <v>510</v>
      </c>
      <c r="I310" t="str">
        <f t="shared" ca="1" si="37"/>
        <v>Contract-Based</v>
      </c>
      <c r="J310" t="str">
        <f t="shared" ca="1" si="38"/>
        <v>Business</v>
      </c>
      <c r="K310" t="str">
        <f t="shared" ca="1" si="39"/>
        <v>Approved</v>
      </c>
      <c r="L310">
        <f t="shared" si="26"/>
        <v>971</v>
      </c>
      <c r="M310">
        <f t="shared" ca="1" si="27"/>
        <v>612</v>
      </c>
      <c r="N310">
        <f t="shared" ca="1" si="28"/>
        <v>292</v>
      </c>
      <c r="O310" s="2">
        <f t="shared" ca="1" si="29"/>
        <v>0.63027806385169927</v>
      </c>
    </row>
    <row r="311" spans="1:15" x14ac:dyDescent="0.3">
      <c r="A311" s="3" t="s">
        <v>516</v>
      </c>
      <c r="B311" t="str">
        <f t="shared" ca="1" si="30"/>
        <v>Mr. Rohan Gupta</v>
      </c>
      <c r="C311">
        <f t="shared" ca="1" si="31"/>
        <v>53</v>
      </c>
      <c r="D311" t="str">
        <f t="shared" si="32"/>
        <v>Female</v>
      </c>
      <c r="E311">
        <f t="shared" ca="1" si="33"/>
        <v>1064280</v>
      </c>
      <c r="F311">
        <f t="shared" ca="1" si="34"/>
        <v>2032141</v>
      </c>
      <c r="G311">
        <f t="shared" ca="1" si="35"/>
        <v>72</v>
      </c>
      <c r="H311">
        <f t="shared" ca="1" si="36"/>
        <v>548</v>
      </c>
      <c r="I311" t="str">
        <f t="shared" ca="1" si="37"/>
        <v>Student</v>
      </c>
      <c r="J311" t="str">
        <f t="shared" ca="1" si="38"/>
        <v>Personal</v>
      </c>
      <c r="K311" t="str">
        <f t="shared" ca="1" si="39"/>
        <v>Rejected</v>
      </c>
      <c r="L311">
        <f t="shared" si="26"/>
        <v>971</v>
      </c>
      <c r="M311">
        <f t="shared" ca="1" si="27"/>
        <v>612</v>
      </c>
      <c r="N311">
        <f t="shared" ca="1" si="28"/>
        <v>292</v>
      </c>
      <c r="O311" s="2">
        <f t="shared" ca="1" si="29"/>
        <v>0.63027806385169927</v>
      </c>
    </row>
    <row r="312" spans="1:15" x14ac:dyDescent="0.3">
      <c r="A312" s="3" t="s">
        <v>517</v>
      </c>
      <c r="B312" t="str">
        <f t="shared" ca="1" si="30"/>
        <v>Mr. Raj Kumar</v>
      </c>
      <c r="C312">
        <f t="shared" ca="1" si="31"/>
        <v>42</v>
      </c>
      <c r="D312" t="str">
        <f t="shared" si="32"/>
        <v>Female</v>
      </c>
      <c r="E312">
        <f t="shared" ca="1" si="33"/>
        <v>590186</v>
      </c>
      <c r="F312">
        <f t="shared" ca="1" si="34"/>
        <v>1344610</v>
      </c>
      <c r="G312">
        <f t="shared" ca="1" si="35"/>
        <v>84</v>
      </c>
      <c r="H312">
        <f t="shared" ca="1" si="36"/>
        <v>312</v>
      </c>
      <c r="I312" t="str">
        <f t="shared" ca="1" si="37"/>
        <v>Self-Employed</v>
      </c>
      <c r="J312" t="str">
        <f t="shared" ca="1" si="38"/>
        <v>Car</v>
      </c>
      <c r="K312" t="str">
        <f t="shared" ca="1" si="39"/>
        <v>Approved</v>
      </c>
      <c r="L312">
        <f t="shared" si="26"/>
        <v>971</v>
      </c>
      <c r="M312">
        <f t="shared" ca="1" si="27"/>
        <v>612</v>
      </c>
      <c r="N312">
        <f t="shared" ca="1" si="28"/>
        <v>292</v>
      </c>
      <c r="O312" s="2">
        <f t="shared" ca="1" si="29"/>
        <v>0.63027806385169927</v>
      </c>
    </row>
    <row r="313" spans="1:15" x14ac:dyDescent="0.3">
      <c r="A313" s="3" t="s">
        <v>518</v>
      </c>
      <c r="B313" t="str">
        <f t="shared" ca="1" si="30"/>
        <v>Mr. Amit Das</v>
      </c>
      <c r="C313">
        <f t="shared" ca="1" si="31"/>
        <v>29</v>
      </c>
      <c r="D313" t="str">
        <f t="shared" si="32"/>
        <v>Male</v>
      </c>
      <c r="E313">
        <f t="shared" ca="1" si="33"/>
        <v>922473</v>
      </c>
      <c r="F313">
        <f t="shared" ca="1" si="34"/>
        <v>998980</v>
      </c>
      <c r="G313">
        <f t="shared" ca="1" si="35"/>
        <v>72</v>
      </c>
      <c r="H313">
        <f t="shared" ca="1" si="36"/>
        <v>820</v>
      </c>
      <c r="I313" t="str">
        <f t="shared" ca="1" si="37"/>
        <v>Freelancer</v>
      </c>
      <c r="J313" t="str">
        <f t="shared" ca="1" si="38"/>
        <v>Car</v>
      </c>
      <c r="K313" t="str">
        <f t="shared" ca="1" si="39"/>
        <v>Approved</v>
      </c>
      <c r="L313">
        <f t="shared" si="26"/>
        <v>971</v>
      </c>
      <c r="M313">
        <f t="shared" ca="1" si="27"/>
        <v>612</v>
      </c>
      <c r="N313">
        <f t="shared" ca="1" si="28"/>
        <v>292</v>
      </c>
      <c r="O313" s="2">
        <f t="shared" ca="1" si="29"/>
        <v>0.63027806385169927</v>
      </c>
    </row>
    <row r="314" spans="1:15" x14ac:dyDescent="0.3">
      <c r="A314" s="3" t="s">
        <v>519</v>
      </c>
      <c r="B314" t="str">
        <f t="shared" ca="1" si="30"/>
        <v>Ms. Priya Sharma</v>
      </c>
      <c r="C314">
        <f t="shared" ca="1" si="31"/>
        <v>53</v>
      </c>
      <c r="D314" t="str">
        <f t="shared" si="32"/>
        <v>Male</v>
      </c>
      <c r="E314">
        <f t="shared" ca="1" si="33"/>
        <v>1235690</v>
      </c>
      <c r="F314">
        <f t="shared" ca="1" si="34"/>
        <v>2471480</v>
      </c>
      <c r="G314">
        <f t="shared" ca="1" si="35"/>
        <v>84</v>
      </c>
      <c r="H314">
        <f t="shared" ca="1" si="36"/>
        <v>594</v>
      </c>
      <c r="I314" t="str">
        <f t="shared" ca="1" si="37"/>
        <v>Student</v>
      </c>
      <c r="J314" t="str">
        <f t="shared" ca="1" si="38"/>
        <v>Home</v>
      </c>
      <c r="K314" t="str">
        <f t="shared" ca="1" si="39"/>
        <v>Approved</v>
      </c>
      <c r="L314">
        <f t="shared" si="26"/>
        <v>971</v>
      </c>
      <c r="M314">
        <f t="shared" ca="1" si="27"/>
        <v>612</v>
      </c>
      <c r="N314">
        <f t="shared" ca="1" si="28"/>
        <v>292</v>
      </c>
      <c r="O314" s="2">
        <f t="shared" ca="1" si="29"/>
        <v>0.63027806385169927</v>
      </c>
    </row>
    <row r="315" spans="1:15" x14ac:dyDescent="0.3">
      <c r="A315" s="3" t="s">
        <v>520</v>
      </c>
      <c r="B315" t="str">
        <f t="shared" ca="1" si="30"/>
        <v>Ms. Kajal Yadav</v>
      </c>
      <c r="C315">
        <f t="shared" ca="1" si="31"/>
        <v>62</v>
      </c>
      <c r="D315" t="str">
        <f t="shared" si="32"/>
        <v>Female</v>
      </c>
      <c r="E315">
        <f t="shared" ca="1" si="33"/>
        <v>320401</v>
      </c>
      <c r="F315">
        <f t="shared" ca="1" si="34"/>
        <v>858516</v>
      </c>
      <c r="G315">
        <f t="shared" ca="1" si="35"/>
        <v>12</v>
      </c>
      <c r="H315">
        <f t="shared" ca="1" si="36"/>
        <v>669</v>
      </c>
      <c r="I315" t="str">
        <f t="shared" ca="1" si="37"/>
        <v>Business</v>
      </c>
      <c r="J315" t="str">
        <f t="shared" ca="1" si="38"/>
        <v>Car</v>
      </c>
      <c r="K315" t="str">
        <f t="shared" ca="1" si="39"/>
        <v>Approved</v>
      </c>
      <c r="L315">
        <f t="shared" si="26"/>
        <v>971</v>
      </c>
      <c r="M315">
        <f t="shared" ca="1" si="27"/>
        <v>612</v>
      </c>
      <c r="N315">
        <f t="shared" ca="1" si="28"/>
        <v>292</v>
      </c>
      <c r="O315" s="2">
        <f t="shared" ca="1" si="29"/>
        <v>0.63027806385169927</v>
      </c>
    </row>
    <row r="316" spans="1:15" x14ac:dyDescent="0.3">
      <c r="A316" s="3" t="s">
        <v>521</v>
      </c>
      <c r="B316" t="str">
        <f t="shared" ca="1" si="30"/>
        <v>Ms. Pooja Patel</v>
      </c>
      <c r="C316">
        <f t="shared" ca="1" si="31"/>
        <v>63</v>
      </c>
      <c r="D316" t="str">
        <f t="shared" si="32"/>
        <v>Female</v>
      </c>
      <c r="E316">
        <f t="shared" ca="1" si="33"/>
        <v>1489713</v>
      </c>
      <c r="F316">
        <f t="shared" ca="1" si="34"/>
        <v>1004978</v>
      </c>
      <c r="G316">
        <f t="shared" ca="1" si="35"/>
        <v>60</v>
      </c>
      <c r="H316">
        <f t="shared" ca="1" si="36"/>
        <v>862</v>
      </c>
      <c r="I316" t="str">
        <f t="shared" ca="1" si="37"/>
        <v>Business</v>
      </c>
      <c r="J316" t="str">
        <f t="shared" ca="1" si="38"/>
        <v>Education</v>
      </c>
      <c r="K316" t="str">
        <f t="shared" ca="1" si="39"/>
        <v>Approved</v>
      </c>
      <c r="L316">
        <f t="shared" si="26"/>
        <v>971</v>
      </c>
      <c r="M316">
        <f t="shared" ca="1" si="27"/>
        <v>612</v>
      </c>
      <c r="N316">
        <f t="shared" ca="1" si="28"/>
        <v>292</v>
      </c>
      <c r="O316" s="2">
        <f t="shared" ca="1" si="29"/>
        <v>0.63027806385169927</v>
      </c>
    </row>
    <row r="317" spans="1:15" x14ac:dyDescent="0.3">
      <c r="A317" s="3" t="s">
        <v>522</v>
      </c>
      <c r="B317" t="str">
        <f t="shared" ca="1" si="30"/>
        <v>Mr. Suresh Rao</v>
      </c>
      <c r="C317">
        <f t="shared" ca="1" si="31"/>
        <v>44</v>
      </c>
      <c r="D317" t="str">
        <f t="shared" si="32"/>
        <v>Male</v>
      </c>
      <c r="E317">
        <f t="shared" ca="1" si="33"/>
        <v>1427653</v>
      </c>
      <c r="F317">
        <f t="shared" ca="1" si="34"/>
        <v>2050182</v>
      </c>
      <c r="G317">
        <f t="shared" ca="1" si="35"/>
        <v>36</v>
      </c>
      <c r="H317">
        <f t="shared" ca="1" si="36"/>
        <v>858</v>
      </c>
      <c r="I317" t="str">
        <f t="shared" ca="1" si="37"/>
        <v>Student</v>
      </c>
      <c r="J317" t="str">
        <f t="shared" ca="1" si="38"/>
        <v>Education</v>
      </c>
      <c r="K317" t="str">
        <f t="shared" ca="1" si="39"/>
        <v>Approved</v>
      </c>
      <c r="L317">
        <f t="shared" si="26"/>
        <v>971</v>
      </c>
      <c r="M317">
        <f t="shared" ca="1" si="27"/>
        <v>612</v>
      </c>
      <c r="N317">
        <f t="shared" ca="1" si="28"/>
        <v>292</v>
      </c>
      <c r="O317" s="2">
        <f t="shared" ca="1" si="29"/>
        <v>0.63027806385169927</v>
      </c>
    </row>
    <row r="318" spans="1:15" x14ac:dyDescent="0.3">
      <c r="A318" s="3" t="s">
        <v>523</v>
      </c>
      <c r="B318" t="str">
        <f t="shared" ca="1" si="30"/>
        <v>Mr. Rohan Gupta</v>
      </c>
      <c r="C318">
        <f t="shared" ca="1" si="31"/>
        <v>43</v>
      </c>
      <c r="D318" t="str">
        <f t="shared" si="32"/>
        <v>Male</v>
      </c>
      <c r="E318">
        <f t="shared" ca="1" si="33"/>
        <v>1771371</v>
      </c>
      <c r="F318">
        <f t="shared" ca="1" si="34"/>
        <v>888120</v>
      </c>
      <c r="G318">
        <f t="shared" ca="1" si="35"/>
        <v>84</v>
      </c>
      <c r="H318">
        <f t="shared" ca="1" si="36"/>
        <v>330</v>
      </c>
      <c r="I318" t="str">
        <f t="shared" ca="1" si="37"/>
        <v>Freelancer</v>
      </c>
      <c r="J318" t="str">
        <f t="shared" ca="1" si="38"/>
        <v>Car</v>
      </c>
      <c r="K318" t="str">
        <f t="shared" ca="1" si="39"/>
        <v>Approved</v>
      </c>
      <c r="L318">
        <f t="shared" si="26"/>
        <v>971</v>
      </c>
      <c r="M318">
        <f t="shared" ca="1" si="27"/>
        <v>612</v>
      </c>
      <c r="N318">
        <f t="shared" ca="1" si="28"/>
        <v>292</v>
      </c>
      <c r="O318" s="2">
        <f t="shared" ca="1" si="29"/>
        <v>0.63027806385169927</v>
      </c>
    </row>
    <row r="319" spans="1:15" x14ac:dyDescent="0.3">
      <c r="A319" s="3" t="s">
        <v>524</v>
      </c>
      <c r="B319" t="str">
        <f t="shared" ca="1" si="30"/>
        <v>Mr. Suresh Rao</v>
      </c>
      <c r="C319">
        <f t="shared" ca="1" si="31"/>
        <v>36</v>
      </c>
      <c r="D319" t="str">
        <f t="shared" si="32"/>
        <v>Female</v>
      </c>
      <c r="E319">
        <f t="shared" ca="1" si="33"/>
        <v>1585743</v>
      </c>
      <c r="F319">
        <f t="shared" ca="1" si="34"/>
        <v>1530170</v>
      </c>
      <c r="G319">
        <f t="shared" ca="1" si="35"/>
        <v>48</v>
      </c>
      <c r="H319">
        <f t="shared" ca="1" si="36"/>
        <v>389</v>
      </c>
      <c r="I319" t="str">
        <f t="shared" ca="1" si="37"/>
        <v>Student</v>
      </c>
      <c r="J319" t="str">
        <f t="shared" ca="1" si="38"/>
        <v>Home</v>
      </c>
      <c r="K319" t="str">
        <f t="shared" ca="1" si="39"/>
        <v>Approved</v>
      </c>
      <c r="L319">
        <f t="shared" si="26"/>
        <v>971</v>
      </c>
      <c r="M319">
        <f t="shared" ca="1" si="27"/>
        <v>612</v>
      </c>
      <c r="N319">
        <f t="shared" ca="1" si="28"/>
        <v>292</v>
      </c>
      <c r="O319" s="2">
        <f t="shared" ca="1" si="29"/>
        <v>0.63027806385169927</v>
      </c>
    </row>
    <row r="320" spans="1:15" x14ac:dyDescent="0.3">
      <c r="A320" s="3" t="s">
        <v>525</v>
      </c>
      <c r="B320" t="str">
        <f t="shared" ca="1" si="30"/>
        <v>Ms. Kajal Yadav</v>
      </c>
      <c r="C320">
        <f t="shared" ca="1" si="31"/>
        <v>46</v>
      </c>
      <c r="D320" t="str">
        <f t="shared" si="32"/>
        <v>Female</v>
      </c>
      <c r="E320">
        <f t="shared" ca="1" si="33"/>
        <v>233881</v>
      </c>
      <c r="F320">
        <f t="shared" ca="1" si="34"/>
        <v>2180342</v>
      </c>
      <c r="G320">
        <f t="shared" ca="1" si="35"/>
        <v>24</v>
      </c>
      <c r="H320">
        <f t="shared" ca="1" si="36"/>
        <v>505</v>
      </c>
      <c r="I320" t="str">
        <f t="shared" ca="1" si="37"/>
        <v>Business</v>
      </c>
      <c r="J320" t="str">
        <f t="shared" ca="1" si="38"/>
        <v>Education</v>
      </c>
      <c r="K320" t="str">
        <f t="shared" ca="1" si="39"/>
        <v>Approved</v>
      </c>
      <c r="L320">
        <f t="shared" si="26"/>
        <v>971</v>
      </c>
      <c r="M320">
        <f t="shared" ca="1" si="27"/>
        <v>612</v>
      </c>
      <c r="N320">
        <f t="shared" ca="1" si="28"/>
        <v>292</v>
      </c>
      <c r="O320" s="2">
        <f t="shared" ca="1" si="29"/>
        <v>0.63027806385169927</v>
      </c>
    </row>
    <row r="321" spans="1:15" x14ac:dyDescent="0.3">
      <c r="A321" s="3" t="s">
        <v>526</v>
      </c>
      <c r="B321" t="str">
        <f t="shared" ca="1" si="30"/>
        <v>Ms. Priya Sharma</v>
      </c>
      <c r="C321">
        <f t="shared" ca="1" si="31"/>
        <v>41</v>
      </c>
      <c r="D321" t="str">
        <f t="shared" si="32"/>
        <v>Male</v>
      </c>
      <c r="E321">
        <f t="shared" ca="1" si="33"/>
        <v>575557</v>
      </c>
      <c r="F321">
        <f t="shared" ca="1" si="34"/>
        <v>372531</v>
      </c>
      <c r="G321">
        <f t="shared" ca="1" si="35"/>
        <v>48</v>
      </c>
      <c r="H321">
        <f t="shared" ca="1" si="36"/>
        <v>723</v>
      </c>
      <c r="I321" t="str">
        <f t="shared" ca="1" si="37"/>
        <v>Self-Employed</v>
      </c>
      <c r="J321" t="str">
        <f t="shared" ca="1" si="38"/>
        <v>Personal</v>
      </c>
      <c r="K321" t="str">
        <f t="shared" ca="1" si="39"/>
        <v>Approved</v>
      </c>
      <c r="L321">
        <f t="shared" si="26"/>
        <v>971</v>
      </c>
      <c r="M321">
        <f t="shared" ca="1" si="27"/>
        <v>612</v>
      </c>
      <c r="N321">
        <f t="shared" ca="1" si="28"/>
        <v>292</v>
      </c>
      <c r="O321" s="2">
        <f t="shared" ca="1" si="29"/>
        <v>0.63027806385169927</v>
      </c>
    </row>
    <row r="322" spans="1:15" x14ac:dyDescent="0.3">
      <c r="A322" s="3" t="s">
        <v>527</v>
      </c>
      <c r="B322" t="str">
        <f t="shared" ca="1" si="30"/>
        <v>Mr. Raj Kumar</v>
      </c>
      <c r="C322">
        <f t="shared" ca="1" si="31"/>
        <v>48</v>
      </c>
      <c r="D322" t="str">
        <f t="shared" si="32"/>
        <v>Male</v>
      </c>
      <c r="E322">
        <f t="shared" ca="1" si="33"/>
        <v>1978911</v>
      </c>
      <c r="F322">
        <f t="shared" ca="1" si="34"/>
        <v>1621587</v>
      </c>
      <c r="G322">
        <f t="shared" ca="1" si="35"/>
        <v>12</v>
      </c>
      <c r="H322">
        <f t="shared" ca="1" si="36"/>
        <v>448</v>
      </c>
      <c r="I322" t="str">
        <f t="shared" ca="1" si="37"/>
        <v>Business</v>
      </c>
      <c r="J322" t="str">
        <f t="shared" ca="1" si="38"/>
        <v>Home</v>
      </c>
      <c r="K322" t="str">
        <f t="shared" ca="1" si="39"/>
        <v>Approved</v>
      </c>
      <c r="L322">
        <f t="shared" ref="L322:L385" si="40">COUNTA($A$2:$A$1001)</f>
        <v>971</v>
      </c>
      <c r="M322">
        <f t="shared" ca="1" si="27"/>
        <v>612</v>
      </c>
      <c r="N322">
        <f t="shared" ca="1" si="28"/>
        <v>292</v>
      </c>
      <c r="O322" s="2">
        <f t="shared" ca="1" si="29"/>
        <v>0.63027806385169927</v>
      </c>
    </row>
    <row r="323" spans="1:15" x14ac:dyDescent="0.3">
      <c r="A323" s="3" t="s">
        <v>528</v>
      </c>
      <c r="B323" t="str">
        <f t="shared" ca="1" si="30"/>
        <v>Mr. Raj Kumar</v>
      </c>
      <c r="C323">
        <f t="shared" ca="1" si="31"/>
        <v>58</v>
      </c>
      <c r="D323" t="str">
        <f t="shared" si="32"/>
        <v>Female</v>
      </c>
      <c r="E323">
        <f t="shared" ca="1" si="33"/>
        <v>1729281</v>
      </c>
      <c r="F323">
        <f t="shared" ca="1" si="34"/>
        <v>1061240</v>
      </c>
      <c r="G323">
        <f t="shared" ca="1" si="35"/>
        <v>48</v>
      </c>
      <c r="H323">
        <f t="shared" ca="1" si="36"/>
        <v>640</v>
      </c>
      <c r="I323" t="str">
        <f t="shared" ca="1" si="37"/>
        <v>Salaried</v>
      </c>
      <c r="J323" t="str">
        <f t="shared" ca="1" si="38"/>
        <v>Home</v>
      </c>
      <c r="K323" t="str">
        <f t="shared" ca="1" si="39"/>
        <v>Approved</v>
      </c>
      <c r="L323">
        <f t="shared" si="40"/>
        <v>971</v>
      </c>
      <c r="M323">
        <f t="shared" ref="M323:M386" ca="1" si="41">COUNTIF($K$2:$K$1001,"Approved")</f>
        <v>612</v>
      </c>
      <c r="N323">
        <f t="shared" ref="N323:N386" ca="1" si="42">COUNTIF($K$2:$K$1001,"Rejected")</f>
        <v>292</v>
      </c>
      <c r="O323" s="2">
        <f t="shared" ref="O323:O386" ca="1" si="43">COUNTIF($K$2:$K$1001,"Approved") / COUNTA($A$2:$A$1001)</f>
        <v>0.63027806385169927</v>
      </c>
    </row>
    <row r="324" spans="1:15" x14ac:dyDescent="0.3">
      <c r="A324" s="3" t="s">
        <v>529</v>
      </c>
      <c r="B324" t="str">
        <f t="shared" ca="1" si="30"/>
        <v>Mr. Arun Kumar</v>
      </c>
      <c r="C324">
        <f t="shared" ca="1" si="31"/>
        <v>50</v>
      </c>
      <c r="D324" t="str">
        <f t="shared" si="32"/>
        <v>Male</v>
      </c>
      <c r="E324">
        <f t="shared" ca="1" si="33"/>
        <v>1011086</v>
      </c>
      <c r="F324">
        <f t="shared" ca="1" si="34"/>
        <v>1520858</v>
      </c>
      <c r="G324">
        <f t="shared" ca="1" si="35"/>
        <v>84</v>
      </c>
      <c r="H324">
        <f t="shared" ca="1" si="36"/>
        <v>575</v>
      </c>
      <c r="I324" t="str">
        <f t="shared" ca="1" si="37"/>
        <v>Student</v>
      </c>
      <c r="J324" t="str">
        <f t="shared" ca="1" si="38"/>
        <v>Education</v>
      </c>
      <c r="K324" t="str">
        <f t="shared" ca="1" si="39"/>
        <v>Approved</v>
      </c>
      <c r="L324">
        <f t="shared" si="40"/>
        <v>971</v>
      </c>
      <c r="M324">
        <f t="shared" ca="1" si="41"/>
        <v>612</v>
      </c>
      <c r="N324">
        <f t="shared" ca="1" si="42"/>
        <v>292</v>
      </c>
      <c r="O324" s="2">
        <f t="shared" ca="1" si="43"/>
        <v>0.63027806385169927</v>
      </c>
    </row>
    <row r="325" spans="1:15" x14ac:dyDescent="0.3">
      <c r="A325" s="3" t="s">
        <v>530</v>
      </c>
      <c r="B325" t="str">
        <f t="shared" ca="1" si="30"/>
        <v>Mr. Arun Kumar</v>
      </c>
      <c r="C325">
        <f t="shared" ca="1" si="31"/>
        <v>40</v>
      </c>
      <c r="D325" t="str">
        <f t="shared" si="32"/>
        <v>Male</v>
      </c>
      <c r="E325">
        <f t="shared" ca="1" si="33"/>
        <v>822230</v>
      </c>
      <c r="F325">
        <f t="shared" ca="1" si="34"/>
        <v>1147927</v>
      </c>
      <c r="G325">
        <f t="shared" ca="1" si="35"/>
        <v>48</v>
      </c>
      <c r="H325">
        <f t="shared" ca="1" si="36"/>
        <v>726</v>
      </c>
      <c r="I325" t="str">
        <f t="shared" ca="1" si="37"/>
        <v>Freelancer</v>
      </c>
      <c r="J325" t="str">
        <f t="shared" ca="1" si="38"/>
        <v>Education</v>
      </c>
      <c r="K325" t="str">
        <f t="shared" ca="1" si="39"/>
        <v>Approved</v>
      </c>
      <c r="L325">
        <f t="shared" si="40"/>
        <v>971</v>
      </c>
      <c r="M325">
        <f t="shared" ca="1" si="41"/>
        <v>612</v>
      </c>
      <c r="N325">
        <f t="shared" ca="1" si="42"/>
        <v>292</v>
      </c>
      <c r="O325" s="2">
        <f t="shared" ca="1" si="43"/>
        <v>0.63027806385169927</v>
      </c>
    </row>
    <row r="326" spans="1:15" x14ac:dyDescent="0.3">
      <c r="A326" s="3" t="s">
        <v>531</v>
      </c>
      <c r="B326" t="str">
        <f t="shared" ca="1" si="30"/>
        <v>Mr. Arun Kumar</v>
      </c>
      <c r="C326">
        <f t="shared" ca="1" si="31"/>
        <v>51</v>
      </c>
      <c r="D326" t="str">
        <f t="shared" si="32"/>
        <v>Female</v>
      </c>
      <c r="E326">
        <f t="shared" ca="1" si="33"/>
        <v>735109</v>
      </c>
      <c r="F326">
        <f t="shared" ca="1" si="34"/>
        <v>1252315</v>
      </c>
      <c r="G326">
        <f t="shared" ca="1" si="35"/>
        <v>24</v>
      </c>
      <c r="H326">
        <f t="shared" ca="1" si="36"/>
        <v>300</v>
      </c>
      <c r="I326" t="str">
        <f t="shared" ca="1" si="37"/>
        <v>Freelancer</v>
      </c>
      <c r="J326" t="str">
        <f t="shared" ca="1" si="38"/>
        <v>Business</v>
      </c>
      <c r="K326" t="str">
        <f t="shared" ca="1" si="39"/>
        <v>Rejected</v>
      </c>
      <c r="L326">
        <f t="shared" si="40"/>
        <v>971</v>
      </c>
      <c r="M326">
        <f t="shared" ca="1" si="41"/>
        <v>612</v>
      </c>
      <c r="N326">
        <f t="shared" ca="1" si="42"/>
        <v>292</v>
      </c>
      <c r="O326" s="2">
        <f t="shared" ca="1" si="43"/>
        <v>0.63027806385169927</v>
      </c>
    </row>
    <row r="327" spans="1:15" x14ac:dyDescent="0.3">
      <c r="A327" s="3" t="s">
        <v>532</v>
      </c>
      <c r="B327" t="str">
        <f t="shared" ca="1" si="30"/>
        <v>Ms. Priya Sharma</v>
      </c>
      <c r="C327">
        <f t="shared" ca="1" si="31"/>
        <v>50</v>
      </c>
      <c r="D327" t="str">
        <f t="shared" si="32"/>
        <v>Male</v>
      </c>
      <c r="E327">
        <f t="shared" ca="1" si="33"/>
        <v>1010358</v>
      </c>
      <c r="F327">
        <f t="shared" ca="1" si="34"/>
        <v>1214532</v>
      </c>
      <c r="G327">
        <f t="shared" ca="1" si="35"/>
        <v>48</v>
      </c>
      <c r="H327">
        <f t="shared" ca="1" si="36"/>
        <v>881</v>
      </c>
      <c r="I327" t="str">
        <f t="shared" ca="1" si="37"/>
        <v>Salaried</v>
      </c>
      <c r="J327" t="str">
        <f t="shared" ca="1" si="38"/>
        <v>Business</v>
      </c>
      <c r="K327" t="str">
        <f t="shared" ca="1" si="39"/>
        <v>Approved</v>
      </c>
      <c r="L327">
        <f t="shared" si="40"/>
        <v>971</v>
      </c>
      <c r="M327">
        <f t="shared" ca="1" si="41"/>
        <v>612</v>
      </c>
      <c r="N327">
        <f t="shared" ca="1" si="42"/>
        <v>292</v>
      </c>
      <c r="O327" s="2">
        <f t="shared" ca="1" si="43"/>
        <v>0.63027806385169927</v>
      </c>
    </row>
    <row r="328" spans="1:15" x14ac:dyDescent="0.3">
      <c r="A328" s="3" t="s">
        <v>533</v>
      </c>
      <c r="B328" t="str">
        <f t="shared" ca="1" si="30"/>
        <v>Ms. Kajal Yadav</v>
      </c>
      <c r="C328">
        <f t="shared" ca="1" si="31"/>
        <v>32</v>
      </c>
      <c r="D328" t="str">
        <f t="shared" si="32"/>
        <v>Male</v>
      </c>
      <c r="E328">
        <f t="shared" ca="1" si="33"/>
        <v>1167585</v>
      </c>
      <c r="F328">
        <f t="shared" ca="1" si="34"/>
        <v>1525898</v>
      </c>
      <c r="G328">
        <f t="shared" ca="1" si="35"/>
        <v>36</v>
      </c>
      <c r="H328">
        <f t="shared" ca="1" si="36"/>
        <v>819</v>
      </c>
      <c r="I328" t="str">
        <f t="shared" ca="1" si="37"/>
        <v>Business</v>
      </c>
      <c r="J328" t="str">
        <f t="shared" ca="1" si="38"/>
        <v>Car</v>
      </c>
      <c r="K328" t="str">
        <f t="shared" ca="1" si="39"/>
        <v>Approved</v>
      </c>
      <c r="L328">
        <f t="shared" si="40"/>
        <v>971</v>
      </c>
      <c r="M328">
        <f t="shared" ca="1" si="41"/>
        <v>612</v>
      </c>
      <c r="N328">
        <f t="shared" ca="1" si="42"/>
        <v>292</v>
      </c>
      <c r="O328" s="2">
        <f t="shared" ca="1" si="43"/>
        <v>0.63027806385169927</v>
      </c>
    </row>
    <row r="329" spans="1:15" x14ac:dyDescent="0.3">
      <c r="A329" s="3" t="s">
        <v>534</v>
      </c>
      <c r="B329" t="str">
        <f t="shared" ca="1" si="30"/>
        <v>Mr. Amit Das</v>
      </c>
      <c r="C329">
        <f t="shared" ca="1" si="31"/>
        <v>53</v>
      </c>
      <c r="D329" t="str">
        <f t="shared" si="32"/>
        <v>Male</v>
      </c>
      <c r="E329">
        <f t="shared" ca="1" si="33"/>
        <v>1530854</v>
      </c>
      <c r="F329">
        <f t="shared" ca="1" si="34"/>
        <v>2288690</v>
      </c>
      <c r="G329">
        <f t="shared" ca="1" si="35"/>
        <v>48</v>
      </c>
      <c r="H329">
        <f t="shared" ca="1" si="36"/>
        <v>553</v>
      </c>
      <c r="I329" t="str">
        <f t="shared" ca="1" si="37"/>
        <v>Contract-Based</v>
      </c>
      <c r="J329" t="str">
        <f t="shared" ca="1" si="38"/>
        <v>Car</v>
      </c>
      <c r="K329" t="str">
        <f t="shared" ca="1" si="39"/>
        <v>Approved</v>
      </c>
      <c r="L329">
        <f t="shared" si="40"/>
        <v>971</v>
      </c>
      <c r="M329">
        <f t="shared" ca="1" si="41"/>
        <v>612</v>
      </c>
      <c r="N329">
        <f t="shared" ca="1" si="42"/>
        <v>292</v>
      </c>
      <c r="O329" s="2">
        <f t="shared" ca="1" si="43"/>
        <v>0.63027806385169927</v>
      </c>
    </row>
    <row r="330" spans="1:15" x14ac:dyDescent="0.3">
      <c r="A330" s="3" t="s">
        <v>535</v>
      </c>
      <c r="B330" t="str">
        <f t="shared" ca="1" si="30"/>
        <v>Mr. Rohan Gupta</v>
      </c>
      <c r="C330">
        <f t="shared" ca="1" si="31"/>
        <v>48</v>
      </c>
      <c r="D330" t="str">
        <f t="shared" si="32"/>
        <v>Male</v>
      </c>
      <c r="E330">
        <f t="shared" ca="1" si="33"/>
        <v>340897</v>
      </c>
      <c r="F330">
        <f t="shared" ca="1" si="34"/>
        <v>1238738</v>
      </c>
      <c r="G330">
        <f t="shared" ca="1" si="35"/>
        <v>84</v>
      </c>
      <c r="H330">
        <f t="shared" ca="1" si="36"/>
        <v>445</v>
      </c>
      <c r="I330" t="str">
        <f t="shared" ca="1" si="37"/>
        <v>Contract-Based</v>
      </c>
      <c r="J330" t="str">
        <f t="shared" ca="1" si="38"/>
        <v>Home</v>
      </c>
      <c r="K330" t="str">
        <f t="shared" ca="1" si="39"/>
        <v>Rejected</v>
      </c>
      <c r="L330">
        <f t="shared" si="40"/>
        <v>971</v>
      </c>
      <c r="M330">
        <f t="shared" ca="1" si="41"/>
        <v>612</v>
      </c>
      <c r="N330">
        <f t="shared" ca="1" si="42"/>
        <v>292</v>
      </c>
      <c r="O330" s="2">
        <f t="shared" ca="1" si="43"/>
        <v>0.63027806385169927</v>
      </c>
    </row>
    <row r="331" spans="1:15" x14ac:dyDescent="0.3">
      <c r="A331" s="3" t="s">
        <v>536</v>
      </c>
      <c r="B331" t="str">
        <f t="shared" ref="B331:B394" ca="1" si="44">CHOOSE(RANDBETWEEN(1,10),
"Mr. Raj Kumar","Ms. Priya Sharma","Mr. Amit Das","Ms. Anjali Singh","Mr. Rohan Gupta",
"Ms. Neha Verma","Mr. Suresh Rao","Ms. Pooja Patel","Mr. Arun Kumar","Ms. Kajal Yadav")</f>
        <v>Mr. Suresh Rao</v>
      </c>
      <c r="C331">
        <f t="shared" ref="C331:C394" ca="1" si="45">RANDBETWEEN(21,65)</f>
        <v>30</v>
      </c>
      <c r="D331" t="str">
        <f t="shared" ref="D331:D394" si="46">IF(LEFT(B131,3)="Mr.","Male","Female")</f>
        <v>Male</v>
      </c>
      <c r="E331">
        <f t="shared" ref="E331:E394" ca="1" si="47">RANDBETWEEN(200000,2000000)</f>
        <v>1491598</v>
      </c>
      <c r="F331">
        <f t="shared" ref="F331:F394" ca="1" si="48">RANDBETWEEN(50000,2500000)</f>
        <v>826466</v>
      </c>
      <c r="G331">
        <f t="shared" ref="G331:G394" ca="1" si="49">CHOOSE(RANDBETWEEN(1,7),12,24,36,48,60,72,84)</f>
        <v>12</v>
      </c>
      <c r="H331">
        <f t="shared" ref="H331:H394" ca="1" si="50">RANDBETWEEN(300,900)</f>
        <v>562</v>
      </c>
      <c r="I331" t="str">
        <f t="shared" ref="I331:I394" ca="1" si="51">CHOOSE(RANDBETWEEN(1,6),
"Salaried","Self-Employed","Business","Freelancer","Student","Contract-Based")</f>
        <v>Freelancer</v>
      </c>
      <c r="J331" t="str">
        <f t="shared" ref="J331:J394" ca="1" si="52">CHOOSE(RANDBETWEEN(1,5),
"Home","Car","Education","Business","Personal")</f>
        <v>Home</v>
      </c>
      <c r="K331" t="str">
        <f t="shared" ref="K331:K394" ca="1" si="53">IF(RANDBETWEEN(1,100)&lt;=70,"Approved","Rejected")</f>
        <v>Rejected</v>
      </c>
      <c r="L331">
        <f t="shared" si="40"/>
        <v>971</v>
      </c>
      <c r="M331">
        <f t="shared" ca="1" si="41"/>
        <v>612</v>
      </c>
      <c r="N331">
        <f t="shared" ca="1" si="42"/>
        <v>292</v>
      </c>
      <c r="O331" s="2">
        <f t="shared" ca="1" si="43"/>
        <v>0.63027806385169927</v>
      </c>
    </row>
    <row r="332" spans="1:15" x14ac:dyDescent="0.3">
      <c r="A332" s="3" t="s">
        <v>537</v>
      </c>
      <c r="B332" t="str">
        <f t="shared" ca="1" si="44"/>
        <v>Ms. Anjali Singh</v>
      </c>
      <c r="C332">
        <f t="shared" ca="1" si="45"/>
        <v>40</v>
      </c>
      <c r="D332" t="str">
        <f t="shared" si="46"/>
        <v>Female</v>
      </c>
      <c r="E332">
        <f t="shared" ca="1" si="47"/>
        <v>1478502</v>
      </c>
      <c r="F332">
        <f t="shared" ca="1" si="48"/>
        <v>2428750</v>
      </c>
      <c r="G332">
        <f t="shared" ca="1" si="49"/>
        <v>12</v>
      </c>
      <c r="H332">
        <f t="shared" ca="1" si="50"/>
        <v>886</v>
      </c>
      <c r="I332" t="str">
        <f t="shared" ca="1" si="51"/>
        <v>Salaried</v>
      </c>
      <c r="J332" t="str">
        <f t="shared" ca="1" si="52"/>
        <v>Car</v>
      </c>
      <c r="K332" t="str">
        <f t="shared" ca="1" si="53"/>
        <v>Approved</v>
      </c>
      <c r="L332">
        <f t="shared" si="40"/>
        <v>971</v>
      </c>
      <c r="M332">
        <f t="shared" ca="1" si="41"/>
        <v>612</v>
      </c>
      <c r="N332">
        <f t="shared" ca="1" si="42"/>
        <v>292</v>
      </c>
      <c r="O332" s="2">
        <f t="shared" ca="1" si="43"/>
        <v>0.63027806385169927</v>
      </c>
    </row>
    <row r="333" spans="1:15" x14ac:dyDescent="0.3">
      <c r="A333" s="3" t="s">
        <v>538</v>
      </c>
      <c r="B333" t="str">
        <f t="shared" ca="1" si="44"/>
        <v>Mr. Arun Kumar</v>
      </c>
      <c r="C333">
        <f t="shared" ca="1" si="45"/>
        <v>27</v>
      </c>
      <c r="D333" t="str">
        <f t="shared" si="46"/>
        <v>Male</v>
      </c>
      <c r="E333">
        <f t="shared" ca="1" si="47"/>
        <v>1265466</v>
      </c>
      <c r="F333">
        <f t="shared" ca="1" si="48"/>
        <v>1562682</v>
      </c>
      <c r="G333">
        <f t="shared" ca="1" si="49"/>
        <v>12</v>
      </c>
      <c r="H333">
        <f t="shared" ca="1" si="50"/>
        <v>430</v>
      </c>
      <c r="I333" t="str">
        <f t="shared" ca="1" si="51"/>
        <v>Contract-Based</v>
      </c>
      <c r="J333" t="str">
        <f t="shared" ca="1" si="52"/>
        <v>Education</v>
      </c>
      <c r="K333" t="str">
        <f t="shared" ca="1" si="53"/>
        <v>Approved</v>
      </c>
      <c r="L333">
        <f t="shared" si="40"/>
        <v>971</v>
      </c>
      <c r="M333">
        <f t="shared" ca="1" si="41"/>
        <v>612</v>
      </c>
      <c r="N333">
        <f t="shared" ca="1" si="42"/>
        <v>292</v>
      </c>
      <c r="O333" s="2">
        <f t="shared" ca="1" si="43"/>
        <v>0.63027806385169927</v>
      </c>
    </row>
    <row r="334" spans="1:15" x14ac:dyDescent="0.3">
      <c r="A334" s="3" t="s">
        <v>539</v>
      </c>
      <c r="B334" t="str">
        <f t="shared" ca="1" si="44"/>
        <v>Mr. Raj Kumar</v>
      </c>
      <c r="C334">
        <f t="shared" ca="1" si="45"/>
        <v>44</v>
      </c>
      <c r="D334" t="str">
        <f t="shared" si="46"/>
        <v>Male</v>
      </c>
      <c r="E334">
        <f t="shared" ca="1" si="47"/>
        <v>1432721</v>
      </c>
      <c r="F334">
        <f t="shared" ca="1" si="48"/>
        <v>556884</v>
      </c>
      <c r="G334">
        <f t="shared" ca="1" si="49"/>
        <v>48</v>
      </c>
      <c r="H334">
        <f t="shared" ca="1" si="50"/>
        <v>865</v>
      </c>
      <c r="I334" t="str">
        <f t="shared" ca="1" si="51"/>
        <v>Salaried</v>
      </c>
      <c r="J334" t="str">
        <f t="shared" ca="1" si="52"/>
        <v>Home</v>
      </c>
      <c r="K334" t="str">
        <f t="shared" ca="1" si="53"/>
        <v>Rejected</v>
      </c>
      <c r="L334">
        <f t="shared" si="40"/>
        <v>971</v>
      </c>
      <c r="M334">
        <f t="shared" ca="1" si="41"/>
        <v>612</v>
      </c>
      <c r="N334">
        <f t="shared" ca="1" si="42"/>
        <v>292</v>
      </c>
      <c r="O334" s="2">
        <f t="shared" ca="1" si="43"/>
        <v>0.63027806385169927</v>
      </c>
    </row>
    <row r="335" spans="1:15" x14ac:dyDescent="0.3">
      <c r="A335" s="3" t="s">
        <v>540</v>
      </c>
      <c r="B335" t="str">
        <f t="shared" ca="1" si="44"/>
        <v>Ms. Anjali Singh</v>
      </c>
      <c r="C335">
        <f t="shared" ca="1" si="45"/>
        <v>52</v>
      </c>
      <c r="D335" t="str">
        <f t="shared" si="46"/>
        <v>Female</v>
      </c>
      <c r="E335">
        <f t="shared" ca="1" si="47"/>
        <v>355351</v>
      </c>
      <c r="F335">
        <f t="shared" ca="1" si="48"/>
        <v>1420298</v>
      </c>
      <c r="G335">
        <f t="shared" ca="1" si="49"/>
        <v>72</v>
      </c>
      <c r="H335">
        <f t="shared" ca="1" si="50"/>
        <v>384</v>
      </c>
      <c r="I335" t="str">
        <f t="shared" ca="1" si="51"/>
        <v>Business</v>
      </c>
      <c r="J335" t="str">
        <f t="shared" ca="1" si="52"/>
        <v>Car</v>
      </c>
      <c r="K335" t="str">
        <f t="shared" ca="1" si="53"/>
        <v>Approved</v>
      </c>
      <c r="L335">
        <f t="shared" si="40"/>
        <v>971</v>
      </c>
      <c r="M335">
        <f t="shared" ca="1" si="41"/>
        <v>612</v>
      </c>
      <c r="N335">
        <f t="shared" ca="1" si="42"/>
        <v>292</v>
      </c>
      <c r="O335" s="2">
        <f t="shared" ca="1" si="43"/>
        <v>0.63027806385169927</v>
      </c>
    </row>
    <row r="336" spans="1:15" x14ac:dyDescent="0.3">
      <c r="A336" s="3" t="s">
        <v>541</v>
      </c>
      <c r="B336" t="str">
        <f t="shared" ca="1" si="44"/>
        <v>Ms. Kajal Yadav</v>
      </c>
      <c r="C336">
        <f t="shared" ca="1" si="45"/>
        <v>57</v>
      </c>
      <c r="D336" t="str">
        <f t="shared" si="46"/>
        <v>Female</v>
      </c>
      <c r="E336">
        <f t="shared" ca="1" si="47"/>
        <v>1697357</v>
      </c>
      <c r="F336">
        <f t="shared" ca="1" si="48"/>
        <v>1022698</v>
      </c>
      <c r="G336">
        <f t="shared" ca="1" si="49"/>
        <v>12</v>
      </c>
      <c r="H336">
        <f t="shared" ca="1" si="50"/>
        <v>680</v>
      </c>
      <c r="I336" t="str">
        <f t="shared" ca="1" si="51"/>
        <v>Business</v>
      </c>
      <c r="J336" t="str">
        <f t="shared" ca="1" si="52"/>
        <v>Home</v>
      </c>
      <c r="K336" t="str">
        <f t="shared" ca="1" si="53"/>
        <v>Approved</v>
      </c>
      <c r="L336">
        <f t="shared" si="40"/>
        <v>971</v>
      </c>
      <c r="M336">
        <f t="shared" ca="1" si="41"/>
        <v>612</v>
      </c>
      <c r="N336">
        <f t="shared" ca="1" si="42"/>
        <v>292</v>
      </c>
      <c r="O336" s="2">
        <f t="shared" ca="1" si="43"/>
        <v>0.63027806385169927</v>
      </c>
    </row>
    <row r="337" spans="1:15" x14ac:dyDescent="0.3">
      <c r="A337" s="3" t="s">
        <v>542</v>
      </c>
      <c r="B337" t="str">
        <f t="shared" ca="1" si="44"/>
        <v>Mr. Arun Kumar</v>
      </c>
      <c r="C337">
        <f t="shared" ca="1" si="45"/>
        <v>58</v>
      </c>
      <c r="D337" t="str">
        <f t="shared" si="46"/>
        <v>Female</v>
      </c>
      <c r="E337">
        <f t="shared" ca="1" si="47"/>
        <v>726008</v>
      </c>
      <c r="F337">
        <f t="shared" ca="1" si="48"/>
        <v>214303</v>
      </c>
      <c r="G337">
        <f t="shared" ca="1" si="49"/>
        <v>36</v>
      </c>
      <c r="H337">
        <f t="shared" ca="1" si="50"/>
        <v>722</v>
      </c>
      <c r="I337" t="str">
        <f t="shared" ca="1" si="51"/>
        <v>Business</v>
      </c>
      <c r="J337" t="str">
        <f t="shared" ca="1" si="52"/>
        <v>Car</v>
      </c>
      <c r="K337" t="str">
        <f t="shared" ca="1" si="53"/>
        <v>Approved</v>
      </c>
      <c r="L337">
        <f t="shared" si="40"/>
        <v>971</v>
      </c>
      <c r="M337">
        <f t="shared" ca="1" si="41"/>
        <v>612</v>
      </c>
      <c r="N337">
        <f t="shared" ca="1" si="42"/>
        <v>292</v>
      </c>
      <c r="O337" s="2">
        <f t="shared" ca="1" si="43"/>
        <v>0.63027806385169927</v>
      </c>
    </row>
    <row r="338" spans="1:15" x14ac:dyDescent="0.3">
      <c r="A338" s="3" t="s">
        <v>543</v>
      </c>
      <c r="B338" t="str">
        <f t="shared" ca="1" si="44"/>
        <v>Mr. Raj Kumar</v>
      </c>
      <c r="C338">
        <f t="shared" ca="1" si="45"/>
        <v>51</v>
      </c>
      <c r="D338" t="str">
        <f t="shared" si="46"/>
        <v>Female</v>
      </c>
      <c r="E338">
        <f t="shared" ca="1" si="47"/>
        <v>1918023</v>
      </c>
      <c r="F338">
        <f t="shared" ca="1" si="48"/>
        <v>1314942</v>
      </c>
      <c r="G338">
        <f t="shared" ca="1" si="49"/>
        <v>60</v>
      </c>
      <c r="H338">
        <f t="shared" ca="1" si="50"/>
        <v>578</v>
      </c>
      <c r="I338" t="str">
        <f t="shared" ca="1" si="51"/>
        <v>Contract-Based</v>
      </c>
      <c r="J338" t="str">
        <f t="shared" ca="1" si="52"/>
        <v>Car</v>
      </c>
      <c r="K338" t="str">
        <f t="shared" ca="1" si="53"/>
        <v>Approved</v>
      </c>
      <c r="L338">
        <f t="shared" si="40"/>
        <v>971</v>
      </c>
      <c r="M338">
        <f t="shared" ca="1" si="41"/>
        <v>612</v>
      </c>
      <c r="N338">
        <f t="shared" ca="1" si="42"/>
        <v>292</v>
      </c>
      <c r="O338" s="2">
        <f t="shared" ca="1" si="43"/>
        <v>0.63027806385169927</v>
      </c>
    </row>
    <row r="339" spans="1:15" x14ac:dyDescent="0.3">
      <c r="A339" s="3" t="s">
        <v>544</v>
      </c>
      <c r="B339" t="str">
        <f t="shared" ca="1" si="44"/>
        <v>Ms. Pooja Patel</v>
      </c>
      <c r="C339">
        <f t="shared" ca="1" si="45"/>
        <v>55</v>
      </c>
      <c r="D339" t="str">
        <f t="shared" si="46"/>
        <v>Male</v>
      </c>
      <c r="E339">
        <f t="shared" ca="1" si="47"/>
        <v>393953</v>
      </c>
      <c r="F339">
        <f t="shared" ca="1" si="48"/>
        <v>1606833</v>
      </c>
      <c r="G339">
        <f t="shared" ca="1" si="49"/>
        <v>12</v>
      </c>
      <c r="H339">
        <f t="shared" ca="1" si="50"/>
        <v>653</v>
      </c>
      <c r="I339" t="str">
        <f t="shared" ca="1" si="51"/>
        <v>Self-Employed</v>
      </c>
      <c r="J339" t="str">
        <f t="shared" ca="1" si="52"/>
        <v>Education</v>
      </c>
      <c r="K339" t="str">
        <f t="shared" ca="1" si="53"/>
        <v>Approved</v>
      </c>
      <c r="L339">
        <f t="shared" si="40"/>
        <v>971</v>
      </c>
      <c r="M339">
        <f t="shared" ca="1" si="41"/>
        <v>612</v>
      </c>
      <c r="N339">
        <f t="shared" ca="1" si="42"/>
        <v>292</v>
      </c>
      <c r="O339" s="2">
        <f t="shared" ca="1" si="43"/>
        <v>0.63027806385169927</v>
      </c>
    </row>
    <row r="340" spans="1:15" x14ac:dyDescent="0.3">
      <c r="A340" s="3" t="s">
        <v>545</v>
      </c>
      <c r="B340" t="str">
        <f t="shared" ca="1" si="44"/>
        <v>Mr. Arun Kumar</v>
      </c>
      <c r="C340">
        <f t="shared" ca="1" si="45"/>
        <v>56</v>
      </c>
      <c r="D340" t="str">
        <f t="shared" si="46"/>
        <v>Female</v>
      </c>
      <c r="E340">
        <f t="shared" ca="1" si="47"/>
        <v>1147383</v>
      </c>
      <c r="F340">
        <f t="shared" ca="1" si="48"/>
        <v>297828</v>
      </c>
      <c r="G340">
        <f t="shared" ca="1" si="49"/>
        <v>48</v>
      </c>
      <c r="H340">
        <f t="shared" ca="1" si="50"/>
        <v>478</v>
      </c>
      <c r="I340" t="str">
        <f t="shared" ca="1" si="51"/>
        <v>Self-Employed</v>
      </c>
      <c r="J340" t="str">
        <f t="shared" ca="1" si="52"/>
        <v>Car</v>
      </c>
      <c r="K340" t="str">
        <f t="shared" ca="1" si="53"/>
        <v>Rejected</v>
      </c>
      <c r="L340">
        <f t="shared" si="40"/>
        <v>971</v>
      </c>
      <c r="M340">
        <f t="shared" ca="1" si="41"/>
        <v>612</v>
      </c>
      <c r="N340">
        <f t="shared" ca="1" si="42"/>
        <v>292</v>
      </c>
      <c r="O340" s="2">
        <f t="shared" ca="1" si="43"/>
        <v>0.63027806385169927</v>
      </c>
    </row>
    <row r="341" spans="1:15" x14ac:dyDescent="0.3">
      <c r="A341" s="3" t="s">
        <v>546</v>
      </c>
      <c r="B341" t="str">
        <f t="shared" ca="1" si="44"/>
        <v>Ms. Pooja Patel</v>
      </c>
      <c r="C341">
        <f t="shared" ca="1" si="45"/>
        <v>49</v>
      </c>
      <c r="D341" t="str">
        <f t="shared" si="46"/>
        <v>Female</v>
      </c>
      <c r="E341">
        <f t="shared" ca="1" si="47"/>
        <v>1739227</v>
      </c>
      <c r="F341">
        <f t="shared" ca="1" si="48"/>
        <v>2419105</v>
      </c>
      <c r="G341">
        <f t="shared" ca="1" si="49"/>
        <v>36</v>
      </c>
      <c r="H341">
        <f t="shared" ca="1" si="50"/>
        <v>760</v>
      </c>
      <c r="I341" t="str">
        <f t="shared" ca="1" si="51"/>
        <v>Contract-Based</v>
      </c>
      <c r="J341" t="str">
        <f t="shared" ca="1" si="52"/>
        <v>Education</v>
      </c>
      <c r="K341" t="str">
        <f t="shared" ca="1" si="53"/>
        <v>Approved</v>
      </c>
      <c r="L341">
        <f t="shared" si="40"/>
        <v>971</v>
      </c>
      <c r="M341">
        <f t="shared" ca="1" si="41"/>
        <v>612</v>
      </c>
      <c r="N341">
        <f t="shared" ca="1" si="42"/>
        <v>292</v>
      </c>
      <c r="O341" s="2">
        <f t="shared" ca="1" si="43"/>
        <v>0.63027806385169927</v>
      </c>
    </row>
    <row r="342" spans="1:15" x14ac:dyDescent="0.3">
      <c r="A342" s="3" t="s">
        <v>547</v>
      </c>
      <c r="B342" t="str">
        <f t="shared" ca="1" si="44"/>
        <v>Mr. Arun Kumar</v>
      </c>
      <c r="C342">
        <f t="shared" ca="1" si="45"/>
        <v>47</v>
      </c>
      <c r="D342" t="str">
        <f t="shared" si="46"/>
        <v>Male</v>
      </c>
      <c r="E342">
        <f t="shared" ca="1" si="47"/>
        <v>662587</v>
      </c>
      <c r="F342">
        <f t="shared" ca="1" si="48"/>
        <v>2337876</v>
      </c>
      <c r="G342">
        <f t="shared" ca="1" si="49"/>
        <v>84</v>
      </c>
      <c r="H342">
        <f t="shared" ca="1" si="50"/>
        <v>800</v>
      </c>
      <c r="I342" t="str">
        <f t="shared" ca="1" si="51"/>
        <v>Freelancer</v>
      </c>
      <c r="J342" t="str">
        <f t="shared" ca="1" si="52"/>
        <v>Car</v>
      </c>
      <c r="K342" t="str">
        <f t="shared" ca="1" si="53"/>
        <v>Rejected</v>
      </c>
      <c r="L342">
        <f t="shared" si="40"/>
        <v>971</v>
      </c>
      <c r="M342">
        <f t="shared" ca="1" si="41"/>
        <v>612</v>
      </c>
      <c r="N342">
        <f t="shared" ca="1" si="42"/>
        <v>292</v>
      </c>
      <c r="O342" s="2">
        <f t="shared" ca="1" si="43"/>
        <v>0.63027806385169927</v>
      </c>
    </row>
    <row r="343" spans="1:15" x14ac:dyDescent="0.3">
      <c r="A343" s="3" t="s">
        <v>548</v>
      </c>
      <c r="B343" t="str">
        <f t="shared" ca="1" si="44"/>
        <v>Mr. Raj Kumar</v>
      </c>
      <c r="C343">
        <f t="shared" ca="1" si="45"/>
        <v>41</v>
      </c>
      <c r="D343" t="str">
        <f t="shared" si="46"/>
        <v>Male</v>
      </c>
      <c r="E343">
        <f t="shared" ca="1" si="47"/>
        <v>1013991</v>
      </c>
      <c r="F343">
        <f t="shared" ca="1" si="48"/>
        <v>977402</v>
      </c>
      <c r="G343">
        <f t="shared" ca="1" si="49"/>
        <v>24</v>
      </c>
      <c r="H343">
        <f t="shared" ca="1" si="50"/>
        <v>755</v>
      </c>
      <c r="I343" t="str">
        <f t="shared" ca="1" si="51"/>
        <v>Contract-Based</v>
      </c>
      <c r="J343" t="str">
        <f t="shared" ca="1" si="52"/>
        <v>Business</v>
      </c>
      <c r="K343" t="str">
        <f t="shared" ca="1" si="53"/>
        <v>Approved</v>
      </c>
      <c r="L343">
        <f t="shared" si="40"/>
        <v>971</v>
      </c>
      <c r="M343">
        <f t="shared" ca="1" si="41"/>
        <v>612</v>
      </c>
      <c r="N343">
        <f t="shared" ca="1" si="42"/>
        <v>292</v>
      </c>
      <c r="O343" s="2">
        <f t="shared" ca="1" si="43"/>
        <v>0.63027806385169927</v>
      </c>
    </row>
    <row r="344" spans="1:15" x14ac:dyDescent="0.3">
      <c r="A344" s="3" t="s">
        <v>549</v>
      </c>
      <c r="B344" t="str">
        <f t="shared" ca="1" si="44"/>
        <v>Mr. Raj Kumar</v>
      </c>
      <c r="C344">
        <f t="shared" ca="1" si="45"/>
        <v>49</v>
      </c>
      <c r="D344" t="str">
        <f t="shared" si="46"/>
        <v>Female</v>
      </c>
      <c r="E344">
        <f t="shared" ca="1" si="47"/>
        <v>519013</v>
      </c>
      <c r="F344">
        <f t="shared" ca="1" si="48"/>
        <v>1340182</v>
      </c>
      <c r="G344">
        <f t="shared" ca="1" si="49"/>
        <v>24</v>
      </c>
      <c r="H344">
        <f t="shared" ca="1" si="50"/>
        <v>865</v>
      </c>
      <c r="I344" t="str">
        <f t="shared" ca="1" si="51"/>
        <v>Self-Employed</v>
      </c>
      <c r="J344" t="str">
        <f t="shared" ca="1" si="52"/>
        <v>Business</v>
      </c>
      <c r="K344" t="str">
        <f t="shared" ca="1" si="53"/>
        <v>Approved</v>
      </c>
      <c r="L344">
        <f t="shared" si="40"/>
        <v>971</v>
      </c>
      <c r="M344">
        <f t="shared" ca="1" si="41"/>
        <v>612</v>
      </c>
      <c r="N344">
        <f t="shared" ca="1" si="42"/>
        <v>292</v>
      </c>
      <c r="O344" s="2">
        <f t="shared" ca="1" si="43"/>
        <v>0.63027806385169927</v>
      </c>
    </row>
    <row r="345" spans="1:15" x14ac:dyDescent="0.3">
      <c r="A345" s="3" t="s">
        <v>550</v>
      </c>
      <c r="B345" t="str">
        <f t="shared" ca="1" si="44"/>
        <v>Mr. Arun Kumar</v>
      </c>
      <c r="C345">
        <f t="shared" ca="1" si="45"/>
        <v>59</v>
      </c>
      <c r="D345" t="str">
        <f t="shared" si="46"/>
        <v>Female</v>
      </c>
      <c r="E345">
        <f t="shared" ca="1" si="47"/>
        <v>409690</v>
      </c>
      <c r="F345">
        <f t="shared" ca="1" si="48"/>
        <v>925020</v>
      </c>
      <c r="G345">
        <f t="shared" ca="1" si="49"/>
        <v>36</v>
      </c>
      <c r="H345">
        <f t="shared" ca="1" si="50"/>
        <v>318</v>
      </c>
      <c r="I345" t="str">
        <f t="shared" ca="1" si="51"/>
        <v>Student</v>
      </c>
      <c r="J345" t="str">
        <f t="shared" ca="1" si="52"/>
        <v>Education</v>
      </c>
      <c r="K345" t="str">
        <f t="shared" ca="1" si="53"/>
        <v>Approved</v>
      </c>
      <c r="L345">
        <f t="shared" si="40"/>
        <v>971</v>
      </c>
      <c r="M345">
        <f t="shared" ca="1" si="41"/>
        <v>612</v>
      </c>
      <c r="N345">
        <f t="shared" ca="1" si="42"/>
        <v>292</v>
      </c>
      <c r="O345" s="2">
        <f t="shared" ca="1" si="43"/>
        <v>0.63027806385169927</v>
      </c>
    </row>
    <row r="346" spans="1:15" x14ac:dyDescent="0.3">
      <c r="A346" s="3" t="s">
        <v>551</v>
      </c>
      <c r="B346" t="str">
        <f t="shared" ca="1" si="44"/>
        <v>Mr. Amit Das</v>
      </c>
      <c r="C346">
        <f t="shared" ca="1" si="45"/>
        <v>63</v>
      </c>
      <c r="D346" t="str">
        <f t="shared" si="46"/>
        <v>Male</v>
      </c>
      <c r="E346">
        <f t="shared" ca="1" si="47"/>
        <v>1169442</v>
      </c>
      <c r="F346">
        <f t="shared" ca="1" si="48"/>
        <v>261832</v>
      </c>
      <c r="G346">
        <f t="shared" ca="1" si="49"/>
        <v>24</v>
      </c>
      <c r="H346">
        <f t="shared" ca="1" si="50"/>
        <v>606</v>
      </c>
      <c r="I346" t="str">
        <f t="shared" ca="1" si="51"/>
        <v>Salaried</v>
      </c>
      <c r="J346" t="str">
        <f t="shared" ca="1" si="52"/>
        <v>Car</v>
      </c>
      <c r="K346" t="str">
        <f t="shared" ca="1" si="53"/>
        <v>Approved</v>
      </c>
      <c r="L346">
        <f t="shared" si="40"/>
        <v>971</v>
      </c>
      <c r="M346">
        <f t="shared" ca="1" si="41"/>
        <v>612</v>
      </c>
      <c r="N346">
        <f t="shared" ca="1" si="42"/>
        <v>292</v>
      </c>
      <c r="O346" s="2">
        <f t="shared" ca="1" si="43"/>
        <v>0.63027806385169927</v>
      </c>
    </row>
    <row r="347" spans="1:15" x14ac:dyDescent="0.3">
      <c r="A347" s="3" t="s">
        <v>552</v>
      </c>
      <c r="B347" t="str">
        <f t="shared" ca="1" si="44"/>
        <v>Mr. Suresh Rao</v>
      </c>
      <c r="C347">
        <f t="shared" ca="1" si="45"/>
        <v>60</v>
      </c>
      <c r="D347" t="str">
        <f t="shared" si="46"/>
        <v>Male</v>
      </c>
      <c r="E347">
        <f t="shared" ca="1" si="47"/>
        <v>1076514</v>
      </c>
      <c r="F347">
        <f t="shared" ca="1" si="48"/>
        <v>1470527</v>
      </c>
      <c r="G347">
        <f t="shared" ca="1" si="49"/>
        <v>12</v>
      </c>
      <c r="H347">
        <f t="shared" ca="1" si="50"/>
        <v>664</v>
      </c>
      <c r="I347" t="str">
        <f t="shared" ca="1" si="51"/>
        <v>Student</v>
      </c>
      <c r="J347" t="str">
        <f t="shared" ca="1" si="52"/>
        <v>Home</v>
      </c>
      <c r="K347" t="str">
        <f t="shared" ca="1" si="53"/>
        <v>Approved</v>
      </c>
      <c r="L347">
        <f t="shared" si="40"/>
        <v>971</v>
      </c>
      <c r="M347">
        <f t="shared" ca="1" si="41"/>
        <v>612</v>
      </c>
      <c r="N347">
        <f t="shared" ca="1" si="42"/>
        <v>292</v>
      </c>
      <c r="O347" s="2">
        <f t="shared" ca="1" si="43"/>
        <v>0.63027806385169927</v>
      </c>
    </row>
    <row r="348" spans="1:15" x14ac:dyDescent="0.3">
      <c r="A348" s="3" t="s">
        <v>553</v>
      </c>
      <c r="B348" t="str">
        <f t="shared" ca="1" si="44"/>
        <v>Ms. Neha Verma</v>
      </c>
      <c r="C348">
        <f t="shared" ca="1" si="45"/>
        <v>47</v>
      </c>
      <c r="D348" t="str">
        <f t="shared" si="46"/>
        <v>Female</v>
      </c>
      <c r="E348">
        <f t="shared" ca="1" si="47"/>
        <v>902288</v>
      </c>
      <c r="F348">
        <f t="shared" ca="1" si="48"/>
        <v>2057486</v>
      </c>
      <c r="G348">
        <f t="shared" ca="1" si="49"/>
        <v>36</v>
      </c>
      <c r="H348">
        <f t="shared" ca="1" si="50"/>
        <v>620</v>
      </c>
      <c r="I348" t="str">
        <f t="shared" ca="1" si="51"/>
        <v>Contract-Based</v>
      </c>
      <c r="J348" t="str">
        <f t="shared" ca="1" si="52"/>
        <v>Personal</v>
      </c>
      <c r="K348" t="str">
        <f t="shared" ca="1" si="53"/>
        <v>Approved</v>
      </c>
      <c r="L348">
        <f t="shared" si="40"/>
        <v>971</v>
      </c>
      <c r="M348">
        <f t="shared" ca="1" si="41"/>
        <v>612</v>
      </c>
      <c r="N348">
        <f t="shared" ca="1" si="42"/>
        <v>292</v>
      </c>
      <c r="O348" s="2">
        <f t="shared" ca="1" si="43"/>
        <v>0.63027806385169927</v>
      </c>
    </row>
    <row r="349" spans="1:15" x14ac:dyDescent="0.3">
      <c r="A349" s="3" t="s">
        <v>554</v>
      </c>
      <c r="B349" t="str">
        <f t="shared" ca="1" si="44"/>
        <v>Mr. Rohan Gupta</v>
      </c>
      <c r="C349">
        <f t="shared" ca="1" si="45"/>
        <v>31</v>
      </c>
      <c r="D349" t="str">
        <f t="shared" si="46"/>
        <v>Male</v>
      </c>
      <c r="E349">
        <f t="shared" ca="1" si="47"/>
        <v>1894825</v>
      </c>
      <c r="F349">
        <f t="shared" ca="1" si="48"/>
        <v>1206830</v>
      </c>
      <c r="G349">
        <f t="shared" ca="1" si="49"/>
        <v>24</v>
      </c>
      <c r="H349">
        <f t="shared" ca="1" si="50"/>
        <v>643</v>
      </c>
      <c r="I349" t="str">
        <f t="shared" ca="1" si="51"/>
        <v>Student</v>
      </c>
      <c r="J349" t="str">
        <f t="shared" ca="1" si="52"/>
        <v>Home</v>
      </c>
      <c r="K349" t="str">
        <f t="shared" ca="1" si="53"/>
        <v>Approved</v>
      </c>
      <c r="L349">
        <f t="shared" si="40"/>
        <v>971</v>
      </c>
      <c r="M349">
        <f t="shared" ca="1" si="41"/>
        <v>612</v>
      </c>
      <c r="N349">
        <f t="shared" ca="1" si="42"/>
        <v>292</v>
      </c>
      <c r="O349" s="2">
        <f t="shared" ca="1" si="43"/>
        <v>0.63027806385169927</v>
      </c>
    </row>
    <row r="350" spans="1:15" x14ac:dyDescent="0.3">
      <c r="A350" s="3" t="s">
        <v>555</v>
      </c>
      <c r="B350" t="str">
        <f t="shared" ca="1" si="44"/>
        <v>Ms. Pooja Patel</v>
      </c>
      <c r="C350">
        <f t="shared" ca="1" si="45"/>
        <v>50</v>
      </c>
      <c r="D350" t="str">
        <f t="shared" si="46"/>
        <v>Male</v>
      </c>
      <c r="E350">
        <f t="shared" ca="1" si="47"/>
        <v>340879</v>
      </c>
      <c r="F350">
        <f t="shared" ca="1" si="48"/>
        <v>2361917</v>
      </c>
      <c r="G350">
        <f t="shared" ca="1" si="49"/>
        <v>84</v>
      </c>
      <c r="H350">
        <f t="shared" ca="1" si="50"/>
        <v>773</v>
      </c>
      <c r="I350" t="str">
        <f t="shared" ca="1" si="51"/>
        <v>Freelancer</v>
      </c>
      <c r="J350" t="str">
        <f t="shared" ca="1" si="52"/>
        <v>Education</v>
      </c>
      <c r="K350" t="str">
        <f t="shared" ca="1" si="53"/>
        <v>Approved</v>
      </c>
      <c r="L350">
        <f t="shared" si="40"/>
        <v>971</v>
      </c>
      <c r="M350">
        <f t="shared" ca="1" si="41"/>
        <v>612</v>
      </c>
      <c r="N350">
        <f t="shared" ca="1" si="42"/>
        <v>292</v>
      </c>
      <c r="O350" s="2">
        <f t="shared" ca="1" si="43"/>
        <v>0.63027806385169927</v>
      </c>
    </row>
    <row r="351" spans="1:15" x14ac:dyDescent="0.3">
      <c r="A351" s="3" t="s">
        <v>556</v>
      </c>
      <c r="B351" t="str">
        <f t="shared" ca="1" si="44"/>
        <v>Ms. Neha Verma</v>
      </c>
      <c r="C351">
        <f t="shared" ca="1" si="45"/>
        <v>35</v>
      </c>
      <c r="D351" t="str">
        <f t="shared" si="46"/>
        <v>Female</v>
      </c>
      <c r="E351">
        <f t="shared" ca="1" si="47"/>
        <v>483875</v>
      </c>
      <c r="F351">
        <f t="shared" ca="1" si="48"/>
        <v>169612</v>
      </c>
      <c r="G351">
        <f t="shared" ca="1" si="49"/>
        <v>24</v>
      </c>
      <c r="H351">
        <f t="shared" ca="1" si="50"/>
        <v>750</v>
      </c>
      <c r="I351" t="str">
        <f t="shared" ca="1" si="51"/>
        <v>Business</v>
      </c>
      <c r="J351" t="str">
        <f t="shared" ca="1" si="52"/>
        <v>Education</v>
      </c>
      <c r="K351" t="str">
        <f t="shared" ca="1" si="53"/>
        <v>Approved</v>
      </c>
      <c r="L351">
        <f t="shared" si="40"/>
        <v>971</v>
      </c>
      <c r="M351">
        <f t="shared" ca="1" si="41"/>
        <v>612</v>
      </c>
      <c r="N351">
        <f t="shared" ca="1" si="42"/>
        <v>292</v>
      </c>
      <c r="O351" s="2">
        <f t="shared" ca="1" si="43"/>
        <v>0.63027806385169927</v>
      </c>
    </row>
    <row r="352" spans="1:15" x14ac:dyDescent="0.3">
      <c r="A352" s="3" t="s">
        <v>557</v>
      </c>
      <c r="B352" t="str">
        <f t="shared" ca="1" si="44"/>
        <v>Mr. Arun Kumar</v>
      </c>
      <c r="C352">
        <f t="shared" ca="1" si="45"/>
        <v>65</v>
      </c>
      <c r="D352" t="str">
        <f t="shared" si="46"/>
        <v>Male</v>
      </c>
      <c r="E352">
        <f t="shared" ca="1" si="47"/>
        <v>1986224</v>
      </c>
      <c r="F352">
        <f t="shared" ca="1" si="48"/>
        <v>996210</v>
      </c>
      <c r="G352">
        <f t="shared" ca="1" si="49"/>
        <v>72</v>
      </c>
      <c r="H352">
        <f t="shared" ca="1" si="50"/>
        <v>634</v>
      </c>
      <c r="I352" t="str">
        <f t="shared" ca="1" si="51"/>
        <v>Salaried</v>
      </c>
      <c r="J352" t="str">
        <f t="shared" ca="1" si="52"/>
        <v>Personal</v>
      </c>
      <c r="K352" t="str">
        <f t="shared" ca="1" si="53"/>
        <v>Rejected</v>
      </c>
      <c r="L352">
        <f t="shared" si="40"/>
        <v>971</v>
      </c>
      <c r="M352">
        <f t="shared" ca="1" si="41"/>
        <v>612</v>
      </c>
      <c r="N352">
        <f t="shared" ca="1" si="42"/>
        <v>292</v>
      </c>
      <c r="O352" s="2">
        <f t="shared" ca="1" si="43"/>
        <v>0.63027806385169927</v>
      </c>
    </row>
    <row r="353" spans="1:15" x14ac:dyDescent="0.3">
      <c r="A353" s="3" t="s">
        <v>558</v>
      </c>
      <c r="B353" t="str">
        <f t="shared" ca="1" si="44"/>
        <v>Mr. Rohan Gupta</v>
      </c>
      <c r="C353">
        <f t="shared" ca="1" si="45"/>
        <v>33</v>
      </c>
      <c r="D353" t="str">
        <f t="shared" si="46"/>
        <v>Female</v>
      </c>
      <c r="E353">
        <f t="shared" ca="1" si="47"/>
        <v>1152975</v>
      </c>
      <c r="F353">
        <f t="shared" ca="1" si="48"/>
        <v>2495217</v>
      </c>
      <c r="G353">
        <f t="shared" ca="1" si="49"/>
        <v>60</v>
      </c>
      <c r="H353">
        <f t="shared" ca="1" si="50"/>
        <v>781</v>
      </c>
      <c r="I353" t="str">
        <f t="shared" ca="1" si="51"/>
        <v>Freelancer</v>
      </c>
      <c r="J353" t="str">
        <f t="shared" ca="1" si="52"/>
        <v>Personal</v>
      </c>
      <c r="K353" t="str">
        <f t="shared" ca="1" si="53"/>
        <v>Approved</v>
      </c>
      <c r="L353">
        <f t="shared" si="40"/>
        <v>971</v>
      </c>
      <c r="M353">
        <f t="shared" ca="1" si="41"/>
        <v>612</v>
      </c>
      <c r="N353">
        <f t="shared" ca="1" si="42"/>
        <v>292</v>
      </c>
      <c r="O353" s="2">
        <f t="shared" ca="1" si="43"/>
        <v>0.63027806385169927</v>
      </c>
    </row>
    <row r="354" spans="1:15" x14ac:dyDescent="0.3">
      <c r="A354" s="3" t="s">
        <v>559</v>
      </c>
      <c r="B354" t="str">
        <f t="shared" ca="1" si="44"/>
        <v>Ms. Priya Sharma</v>
      </c>
      <c r="C354">
        <f t="shared" ca="1" si="45"/>
        <v>34</v>
      </c>
      <c r="D354" t="str">
        <f t="shared" si="46"/>
        <v>Male</v>
      </c>
      <c r="E354">
        <f t="shared" ca="1" si="47"/>
        <v>623493</v>
      </c>
      <c r="F354">
        <f t="shared" ca="1" si="48"/>
        <v>2468059</v>
      </c>
      <c r="G354">
        <f t="shared" ca="1" si="49"/>
        <v>72</v>
      </c>
      <c r="H354">
        <f t="shared" ca="1" si="50"/>
        <v>706</v>
      </c>
      <c r="I354" t="str">
        <f t="shared" ca="1" si="51"/>
        <v>Freelancer</v>
      </c>
      <c r="J354" t="str">
        <f t="shared" ca="1" si="52"/>
        <v>Home</v>
      </c>
      <c r="K354" t="str">
        <f t="shared" ca="1" si="53"/>
        <v>Rejected</v>
      </c>
      <c r="L354">
        <f t="shared" si="40"/>
        <v>971</v>
      </c>
      <c r="M354">
        <f t="shared" ca="1" si="41"/>
        <v>612</v>
      </c>
      <c r="N354">
        <f t="shared" ca="1" si="42"/>
        <v>292</v>
      </c>
      <c r="O354" s="2">
        <f t="shared" ca="1" si="43"/>
        <v>0.63027806385169927</v>
      </c>
    </row>
    <row r="355" spans="1:15" x14ac:dyDescent="0.3">
      <c r="A355" s="3" t="s">
        <v>560</v>
      </c>
      <c r="B355" t="str">
        <f t="shared" ca="1" si="44"/>
        <v>Ms. Pooja Patel</v>
      </c>
      <c r="C355">
        <f t="shared" ca="1" si="45"/>
        <v>59</v>
      </c>
      <c r="D355" t="str">
        <f t="shared" si="46"/>
        <v>Female</v>
      </c>
      <c r="E355">
        <f t="shared" ca="1" si="47"/>
        <v>1938394</v>
      </c>
      <c r="F355">
        <f t="shared" ca="1" si="48"/>
        <v>1152575</v>
      </c>
      <c r="G355">
        <f t="shared" ca="1" si="49"/>
        <v>48</v>
      </c>
      <c r="H355">
        <f t="shared" ca="1" si="50"/>
        <v>463</v>
      </c>
      <c r="I355" t="str">
        <f t="shared" ca="1" si="51"/>
        <v>Self-Employed</v>
      </c>
      <c r="J355" t="str">
        <f t="shared" ca="1" si="52"/>
        <v>Education</v>
      </c>
      <c r="K355" t="str">
        <f t="shared" ca="1" si="53"/>
        <v>Approved</v>
      </c>
      <c r="L355">
        <f t="shared" si="40"/>
        <v>971</v>
      </c>
      <c r="M355">
        <f t="shared" ca="1" si="41"/>
        <v>612</v>
      </c>
      <c r="N355">
        <f t="shared" ca="1" si="42"/>
        <v>292</v>
      </c>
      <c r="O355" s="2">
        <f t="shared" ca="1" si="43"/>
        <v>0.63027806385169927</v>
      </c>
    </row>
    <row r="356" spans="1:15" x14ac:dyDescent="0.3">
      <c r="A356" s="3" t="s">
        <v>561</v>
      </c>
      <c r="B356" t="str">
        <f t="shared" ca="1" si="44"/>
        <v>Ms. Anjali Singh</v>
      </c>
      <c r="C356">
        <f t="shared" ca="1" si="45"/>
        <v>41</v>
      </c>
      <c r="D356" t="str">
        <f t="shared" si="46"/>
        <v>Female</v>
      </c>
      <c r="E356">
        <f t="shared" ca="1" si="47"/>
        <v>831422</v>
      </c>
      <c r="F356">
        <f t="shared" ca="1" si="48"/>
        <v>1656962</v>
      </c>
      <c r="G356">
        <f t="shared" ca="1" si="49"/>
        <v>84</v>
      </c>
      <c r="H356">
        <f t="shared" ca="1" si="50"/>
        <v>761</v>
      </c>
      <c r="I356" t="str">
        <f t="shared" ca="1" si="51"/>
        <v>Contract-Based</v>
      </c>
      <c r="J356" t="str">
        <f t="shared" ca="1" si="52"/>
        <v>Education</v>
      </c>
      <c r="K356" t="str">
        <f t="shared" ca="1" si="53"/>
        <v>Approved</v>
      </c>
      <c r="L356">
        <f t="shared" si="40"/>
        <v>971</v>
      </c>
      <c r="M356">
        <f t="shared" ca="1" si="41"/>
        <v>612</v>
      </c>
      <c r="N356">
        <f t="shared" ca="1" si="42"/>
        <v>292</v>
      </c>
      <c r="O356" s="2">
        <f t="shared" ca="1" si="43"/>
        <v>0.63027806385169927</v>
      </c>
    </row>
    <row r="357" spans="1:15" x14ac:dyDescent="0.3">
      <c r="A357" s="3" t="s">
        <v>562</v>
      </c>
      <c r="B357" t="str">
        <f t="shared" ca="1" si="44"/>
        <v>Ms. Priya Sharma</v>
      </c>
      <c r="C357">
        <f t="shared" ca="1" si="45"/>
        <v>61</v>
      </c>
      <c r="D357" t="str">
        <f t="shared" si="46"/>
        <v>Male</v>
      </c>
      <c r="E357">
        <f t="shared" ca="1" si="47"/>
        <v>611228</v>
      </c>
      <c r="F357">
        <f t="shared" ca="1" si="48"/>
        <v>1272628</v>
      </c>
      <c r="G357">
        <f t="shared" ca="1" si="49"/>
        <v>24</v>
      </c>
      <c r="H357">
        <f t="shared" ca="1" si="50"/>
        <v>685</v>
      </c>
      <c r="I357" t="str">
        <f t="shared" ca="1" si="51"/>
        <v>Salaried</v>
      </c>
      <c r="J357" t="str">
        <f t="shared" ca="1" si="52"/>
        <v>Education</v>
      </c>
      <c r="K357" t="str">
        <f t="shared" ca="1" si="53"/>
        <v>Rejected</v>
      </c>
      <c r="L357">
        <f t="shared" si="40"/>
        <v>971</v>
      </c>
      <c r="M357">
        <f t="shared" ca="1" si="41"/>
        <v>612</v>
      </c>
      <c r="N357">
        <f t="shared" ca="1" si="42"/>
        <v>292</v>
      </c>
      <c r="O357" s="2">
        <f t="shared" ca="1" si="43"/>
        <v>0.63027806385169927</v>
      </c>
    </row>
    <row r="358" spans="1:15" x14ac:dyDescent="0.3">
      <c r="A358" s="3" t="s">
        <v>563</v>
      </c>
      <c r="B358" t="str">
        <f t="shared" ca="1" si="44"/>
        <v>Ms. Priya Sharma</v>
      </c>
      <c r="C358">
        <f t="shared" ca="1" si="45"/>
        <v>51</v>
      </c>
      <c r="D358" t="str">
        <f t="shared" si="46"/>
        <v>Female</v>
      </c>
      <c r="E358">
        <f t="shared" ca="1" si="47"/>
        <v>1866785</v>
      </c>
      <c r="F358">
        <f t="shared" ca="1" si="48"/>
        <v>1887837</v>
      </c>
      <c r="G358">
        <f t="shared" ca="1" si="49"/>
        <v>24</v>
      </c>
      <c r="H358">
        <f t="shared" ca="1" si="50"/>
        <v>790</v>
      </c>
      <c r="I358" t="str">
        <f t="shared" ca="1" si="51"/>
        <v>Business</v>
      </c>
      <c r="J358" t="str">
        <f t="shared" ca="1" si="52"/>
        <v>Personal</v>
      </c>
      <c r="K358" t="str">
        <f t="shared" ca="1" si="53"/>
        <v>Approved</v>
      </c>
      <c r="L358">
        <f t="shared" si="40"/>
        <v>971</v>
      </c>
      <c r="M358">
        <f t="shared" ca="1" si="41"/>
        <v>612</v>
      </c>
      <c r="N358">
        <f t="shared" ca="1" si="42"/>
        <v>292</v>
      </c>
      <c r="O358" s="2">
        <f t="shared" ca="1" si="43"/>
        <v>0.63027806385169927</v>
      </c>
    </row>
    <row r="359" spans="1:15" x14ac:dyDescent="0.3">
      <c r="A359" s="3" t="s">
        <v>564</v>
      </c>
      <c r="B359" t="str">
        <f t="shared" ca="1" si="44"/>
        <v>Ms. Pooja Patel</v>
      </c>
      <c r="C359">
        <f t="shared" ca="1" si="45"/>
        <v>22</v>
      </c>
      <c r="D359" t="str">
        <f t="shared" si="46"/>
        <v>Female</v>
      </c>
      <c r="E359">
        <f t="shared" ca="1" si="47"/>
        <v>636483</v>
      </c>
      <c r="F359">
        <f t="shared" ca="1" si="48"/>
        <v>333282</v>
      </c>
      <c r="G359">
        <f t="shared" ca="1" si="49"/>
        <v>72</v>
      </c>
      <c r="H359">
        <f t="shared" ca="1" si="50"/>
        <v>483</v>
      </c>
      <c r="I359" t="str">
        <f t="shared" ca="1" si="51"/>
        <v>Salaried</v>
      </c>
      <c r="J359" t="str">
        <f t="shared" ca="1" si="52"/>
        <v>Personal</v>
      </c>
      <c r="K359" t="str">
        <f t="shared" ca="1" si="53"/>
        <v>Approved</v>
      </c>
      <c r="L359">
        <f t="shared" si="40"/>
        <v>971</v>
      </c>
      <c r="M359">
        <f t="shared" ca="1" si="41"/>
        <v>612</v>
      </c>
      <c r="N359">
        <f t="shared" ca="1" si="42"/>
        <v>292</v>
      </c>
      <c r="O359" s="2">
        <f t="shared" ca="1" si="43"/>
        <v>0.63027806385169927</v>
      </c>
    </row>
    <row r="360" spans="1:15" x14ac:dyDescent="0.3">
      <c r="A360" s="3" t="s">
        <v>565</v>
      </c>
      <c r="B360" t="str">
        <f t="shared" ca="1" si="44"/>
        <v>Mr. Amit Das</v>
      </c>
      <c r="C360">
        <f t="shared" ca="1" si="45"/>
        <v>58</v>
      </c>
      <c r="D360" t="str">
        <f t="shared" si="46"/>
        <v>Female</v>
      </c>
      <c r="E360">
        <f t="shared" ca="1" si="47"/>
        <v>1601453</v>
      </c>
      <c r="F360">
        <f t="shared" ca="1" si="48"/>
        <v>1981007</v>
      </c>
      <c r="G360">
        <f t="shared" ca="1" si="49"/>
        <v>84</v>
      </c>
      <c r="H360">
        <f t="shared" ca="1" si="50"/>
        <v>590</v>
      </c>
      <c r="I360" t="str">
        <f t="shared" ca="1" si="51"/>
        <v>Student</v>
      </c>
      <c r="J360" t="str">
        <f t="shared" ca="1" si="52"/>
        <v>Personal</v>
      </c>
      <c r="K360" t="str">
        <f t="shared" ca="1" si="53"/>
        <v>Approved</v>
      </c>
      <c r="L360">
        <f t="shared" si="40"/>
        <v>971</v>
      </c>
      <c r="M360">
        <f t="shared" ca="1" si="41"/>
        <v>612</v>
      </c>
      <c r="N360">
        <f t="shared" ca="1" si="42"/>
        <v>292</v>
      </c>
      <c r="O360" s="2">
        <f t="shared" ca="1" si="43"/>
        <v>0.63027806385169927</v>
      </c>
    </row>
    <row r="361" spans="1:15" x14ac:dyDescent="0.3">
      <c r="A361" s="3" t="s">
        <v>566</v>
      </c>
      <c r="B361" t="str">
        <f t="shared" ca="1" si="44"/>
        <v>Ms. Neha Verma</v>
      </c>
      <c r="C361">
        <f t="shared" ca="1" si="45"/>
        <v>23</v>
      </c>
      <c r="D361" t="str">
        <f t="shared" si="46"/>
        <v>Female</v>
      </c>
      <c r="E361">
        <f t="shared" ca="1" si="47"/>
        <v>996052</v>
      </c>
      <c r="F361">
        <f t="shared" ca="1" si="48"/>
        <v>527671</v>
      </c>
      <c r="G361">
        <f t="shared" ca="1" si="49"/>
        <v>24</v>
      </c>
      <c r="H361">
        <f t="shared" ca="1" si="50"/>
        <v>556</v>
      </c>
      <c r="I361" t="str">
        <f t="shared" ca="1" si="51"/>
        <v>Student</v>
      </c>
      <c r="J361" t="str">
        <f t="shared" ca="1" si="52"/>
        <v>Business</v>
      </c>
      <c r="K361" t="str">
        <f t="shared" ca="1" si="53"/>
        <v>Approved</v>
      </c>
      <c r="L361">
        <f t="shared" si="40"/>
        <v>971</v>
      </c>
      <c r="M361">
        <f t="shared" ca="1" si="41"/>
        <v>612</v>
      </c>
      <c r="N361">
        <f t="shared" ca="1" si="42"/>
        <v>292</v>
      </c>
      <c r="O361" s="2">
        <f t="shared" ca="1" si="43"/>
        <v>0.63027806385169927</v>
      </c>
    </row>
    <row r="362" spans="1:15" x14ac:dyDescent="0.3">
      <c r="A362" s="3" t="s">
        <v>567</v>
      </c>
      <c r="B362" t="str">
        <f t="shared" ca="1" si="44"/>
        <v>Mr. Raj Kumar</v>
      </c>
      <c r="C362">
        <f t="shared" ca="1" si="45"/>
        <v>50</v>
      </c>
      <c r="D362" t="str">
        <f t="shared" si="46"/>
        <v>Male</v>
      </c>
      <c r="E362">
        <f t="shared" ca="1" si="47"/>
        <v>1625887</v>
      </c>
      <c r="F362">
        <f t="shared" ca="1" si="48"/>
        <v>2028005</v>
      </c>
      <c r="G362">
        <f t="shared" ca="1" si="49"/>
        <v>84</v>
      </c>
      <c r="H362">
        <f t="shared" ca="1" si="50"/>
        <v>458</v>
      </c>
      <c r="I362" t="str">
        <f t="shared" ca="1" si="51"/>
        <v>Student</v>
      </c>
      <c r="J362" t="str">
        <f t="shared" ca="1" si="52"/>
        <v>Personal</v>
      </c>
      <c r="K362" t="str">
        <f t="shared" ca="1" si="53"/>
        <v>Approved</v>
      </c>
      <c r="L362">
        <f t="shared" si="40"/>
        <v>971</v>
      </c>
      <c r="M362">
        <f t="shared" ca="1" si="41"/>
        <v>612</v>
      </c>
      <c r="N362">
        <f t="shared" ca="1" si="42"/>
        <v>292</v>
      </c>
      <c r="O362" s="2">
        <f t="shared" ca="1" si="43"/>
        <v>0.63027806385169927</v>
      </c>
    </row>
    <row r="363" spans="1:15" x14ac:dyDescent="0.3">
      <c r="A363" s="3" t="s">
        <v>568</v>
      </c>
      <c r="B363" t="str">
        <f t="shared" ca="1" si="44"/>
        <v>Mr. Rohan Gupta</v>
      </c>
      <c r="C363">
        <f t="shared" ca="1" si="45"/>
        <v>59</v>
      </c>
      <c r="D363" t="str">
        <f t="shared" si="46"/>
        <v>Female</v>
      </c>
      <c r="E363">
        <f t="shared" ca="1" si="47"/>
        <v>588310</v>
      </c>
      <c r="F363">
        <f t="shared" ca="1" si="48"/>
        <v>1390333</v>
      </c>
      <c r="G363">
        <f t="shared" ca="1" si="49"/>
        <v>60</v>
      </c>
      <c r="H363">
        <f t="shared" ca="1" si="50"/>
        <v>581</v>
      </c>
      <c r="I363" t="str">
        <f t="shared" ca="1" si="51"/>
        <v>Freelancer</v>
      </c>
      <c r="J363" t="str">
        <f t="shared" ca="1" si="52"/>
        <v>Personal</v>
      </c>
      <c r="K363" t="str">
        <f t="shared" ca="1" si="53"/>
        <v>Approved</v>
      </c>
      <c r="L363">
        <f t="shared" si="40"/>
        <v>971</v>
      </c>
      <c r="M363">
        <f t="shared" ca="1" si="41"/>
        <v>612</v>
      </c>
      <c r="N363">
        <f t="shared" ca="1" si="42"/>
        <v>292</v>
      </c>
      <c r="O363" s="2">
        <f t="shared" ca="1" si="43"/>
        <v>0.63027806385169927</v>
      </c>
    </row>
    <row r="364" spans="1:15" x14ac:dyDescent="0.3">
      <c r="A364" s="3" t="s">
        <v>569</v>
      </c>
      <c r="B364" t="str">
        <f t="shared" ca="1" si="44"/>
        <v>Ms. Pooja Patel</v>
      </c>
      <c r="C364">
        <f t="shared" ca="1" si="45"/>
        <v>65</v>
      </c>
      <c r="D364" t="str">
        <f t="shared" si="46"/>
        <v>Female</v>
      </c>
      <c r="E364">
        <f t="shared" ca="1" si="47"/>
        <v>1554670</v>
      </c>
      <c r="F364">
        <f t="shared" ca="1" si="48"/>
        <v>2476204</v>
      </c>
      <c r="G364">
        <f t="shared" ca="1" si="49"/>
        <v>84</v>
      </c>
      <c r="H364">
        <f t="shared" ca="1" si="50"/>
        <v>796</v>
      </c>
      <c r="I364" t="str">
        <f t="shared" ca="1" si="51"/>
        <v>Student</v>
      </c>
      <c r="J364" t="str">
        <f t="shared" ca="1" si="52"/>
        <v>Business</v>
      </c>
      <c r="K364" t="str">
        <f t="shared" ca="1" si="53"/>
        <v>Rejected</v>
      </c>
      <c r="L364">
        <f t="shared" si="40"/>
        <v>971</v>
      </c>
      <c r="M364">
        <f t="shared" ca="1" si="41"/>
        <v>612</v>
      </c>
      <c r="N364">
        <f t="shared" ca="1" si="42"/>
        <v>292</v>
      </c>
      <c r="O364" s="2">
        <f t="shared" ca="1" si="43"/>
        <v>0.63027806385169927</v>
      </c>
    </row>
    <row r="365" spans="1:15" x14ac:dyDescent="0.3">
      <c r="A365" s="3" t="s">
        <v>570</v>
      </c>
      <c r="B365" t="str">
        <f t="shared" ca="1" si="44"/>
        <v>Mr. Suresh Rao</v>
      </c>
      <c r="C365">
        <f t="shared" ca="1" si="45"/>
        <v>44</v>
      </c>
      <c r="D365" t="str">
        <f t="shared" si="46"/>
        <v>Male</v>
      </c>
      <c r="E365">
        <f t="shared" ca="1" si="47"/>
        <v>1383779</v>
      </c>
      <c r="F365">
        <f t="shared" ca="1" si="48"/>
        <v>557683</v>
      </c>
      <c r="G365">
        <f t="shared" ca="1" si="49"/>
        <v>36</v>
      </c>
      <c r="H365">
        <f t="shared" ca="1" si="50"/>
        <v>777</v>
      </c>
      <c r="I365" t="str">
        <f t="shared" ca="1" si="51"/>
        <v>Salaried</v>
      </c>
      <c r="J365" t="str">
        <f t="shared" ca="1" si="52"/>
        <v>Education</v>
      </c>
      <c r="K365" t="str">
        <f t="shared" ca="1" si="53"/>
        <v>Approved</v>
      </c>
      <c r="L365">
        <f t="shared" si="40"/>
        <v>971</v>
      </c>
      <c r="M365">
        <f t="shared" ca="1" si="41"/>
        <v>612</v>
      </c>
      <c r="N365">
        <f t="shared" ca="1" si="42"/>
        <v>292</v>
      </c>
      <c r="O365" s="2">
        <f t="shared" ca="1" si="43"/>
        <v>0.63027806385169927</v>
      </c>
    </row>
    <row r="366" spans="1:15" x14ac:dyDescent="0.3">
      <c r="A366" s="3" t="s">
        <v>571</v>
      </c>
      <c r="B366" t="str">
        <f t="shared" ca="1" si="44"/>
        <v>Ms. Pooja Patel</v>
      </c>
      <c r="C366">
        <f t="shared" ca="1" si="45"/>
        <v>39</v>
      </c>
      <c r="D366" t="str">
        <f t="shared" si="46"/>
        <v>Male</v>
      </c>
      <c r="E366">
        <f t="shared" ca="1" si="47"/>
        <v>521248</v>
      </c>
      <c r="F366">
        <f t="shared" ca="1" si="48"/>
        <v>2190023</v>
      </c>
      <c r="G366">
        <f t="shared" ca="1" si="49"/>
        <v>24</v>
      </c>
      <c r="H366">
        <f t="shared" ca="1" si="50"/>
        <v>876</v>
      </c>
      <c r="I366" t="str">
        <f t="shared" ca="1" si="51"/>
        <v>Business</v>
      </c>
      <c r="J366" t="str">
        <f t="shared" ca="1" si="52"/>
        <v>Personal</v>
      </c>
      <c r="K366" t="str">
        <f t="shared" ca="1" si="53"/>
        <v>Rejected</v>
      </c>
      <c r="L366">
        <f t="shared" si="40"/>
        <v>971</v>
      </c>
      <c r="M366">
        <f t="shared" ca="1" si="41"/>
        <v>612</v>
      </c>
      <c r="N366">
        <f t="shared" ca="1" si="42"/>
        <v>292</v>
      </c>
      <c r="O366" s="2">
        <f t="shared" ca="1" si="43"/>
        <v>0.63027806385169927</v>
      </c>
    </row>
    <row r="367" spans="1:15" x14ac:dyDescent="0.3">
      <c r="A367" s="3" t="s">
        <v>572</v>
      </c>
      <c r="B367" t="str">
        <f t="shared" ca="1" si="44"/>
        <v>Mr. Suresh Rao</v>
      </c>
      <c r="C367">
        <f t="shared" ca="1" si="45"/>
        <v>27</v>
      </c>
      <c r="D367" t="str">
        <f t="shared" si="46"/>
        <v>Male</v>
      </c>
      <c r="E367">
        <f t="shared" ca="1" si="47"/>
        <v>582790</v>
      </c>
      <c r="F367">
        <f t="shared" ca="1" si="48"/>
        <v>284035</v>
      </c>
      <c r="G367">
        <f t="shared" ca="1" si="49"/>
        <v>12</v>
      </c>
      <c r="H367">
        <f t="shared" ca="1" si="50"/>
        <v>703</v>
      </c>
      <c r="I367" t="str">
        <f t="shared" ca="1" si="51"/>
        <v>Student</v>
      </c>
      <c r="J367" t="str">
        <f t="shared" ca="1" si="52"/>
        <v>Personal</v>
      </c>
      <c r="K367" t="str">
        <f t="shared" ca="1" si="53"/>
        <v>Approved</v>
      </c>
      <c r="L367">
        <f t="shared" si="40"/>
        <v>971</v>
      </c>
      <c r="M367">
        <f t="shared" ca="1" si="41"/>
        <v>612</v>
      </c>
      <c r="N367">
        <f t="shared" ca="1" si="42"/>
        <v>292</v>
      </c>
      <c r="O367" s="2">
        <f t="shared" ca="1" si="43"/>
        <v>0.63027806385169927</v>
      </c>
    </row>
    <row r="368" spans="1:15" x14ac:dyDescent="0.3">
      <c r="A368" s="3" t="s">
        <v>573</v>
      </c>
      <c r="B368" t="str">
        <f t="shared" ca="1" si="44"/>
        <v>Mr. Raj Kumar</v>
      </c>
      <c r="C368">
        <f t="shared" ca="1" si="45"/>
        <v>43</v>
      </c>
      <c r="D368" t="str">
        <f t="shared" si="46"/>
        <v>Female</v>
      </c>
      <c r="E368">
        <f t="shared" ca="1" si="47"/>
        <v>1333477</v>
      </c>
      <c r="F368">
        <f t="shared" ca="1" si="48"/>
        <v>568216</v>
      </c>
      <c r="G368">
        <f t="shared" ca="1" si="49"/>
        <v>60</v>
      </c>
      <c r="H368">
        <f t="shared" ca="1" si="50"/>
        <v>565</v>
      </c>
      <c r="I368" t="str">
        <f t="shared" ca="1" si="51"/>
        <v>Student</v>
      </c>
      <c r="J368" t="str">
        <f t="shared" ca="1" si="52"/>
        <v>Personal</v>
      </c>
      <c r="K368" t="str">
        <f t="shared" ca="1" si="53"/>
        <v>Approved</v>
      </c>
      <c r="L368">
        <f t="shared" si="40"/>
        <v>971</v>
      </c>
      <c r="M368">
        <f t="shared" ca="1" si="41"/>
        <v>612</v>
      </c>
      <c r="N368">
        <f t="shared" ca="1" si="42"/>
        <v>292</v>
      </c>
      <c r="O368" s="2">
        <f t="shared" ca="1" si="43"/>
        <v>0.63027806385169927</v>
      </c>
    </row>
    <row r="369" spans="1:15" x14ac:dyDescent="0.3">
      <c r="A369" s="3" t="s">
        <v>574</v>
      </c>
      <c r="B369" t="str">
        <f t="shared" ca="1" si="44"/>
        <v>Ms. Priya Sharma</v>
      </c>
      <c r="C369">
        <f t="shared" ca="1" si="45"/>
        <v>55</v>
      </c>
      <c r="D369" t="str">
        <f t="shared" si="46"/>
        <v>Male</v>
      </c>
      <c r="E369">
        <f t="shared" ca="1" si="47"/>
        <v>1875153</v>
      </c>
      <c r="F369">
        <f t="shared" ca="1" si="48"/>
        <v>1395746</v>
      </c>
      <c r="G369">
        <f t="shared" ca="1" si="49"/>
        <v>72</v>
      </c>
      <c r="H369">
        <f t="shared" ca="1" si="50"/>
        <v>639</v>
      </c>
      <c r="I369" t="str">
        <f t="shared" ca="1" si="51"/>
        <v>Student</v>
      </c>
      <c r="J369" t="str">
        <f t="shared" ca="1" si="52"/>
        <v>Business</v>
      </c>
      <c r="K369" t="str">
        <f t="shared" ca="1" si="53"/>
        <v>Rejected</v>
      </c>
      <c r="L369">
        <f t="shared" si="40"/>
        <v>971</v>
      </c>
      <c r="M369">
        <f t="shared" ca="1" si="41"/>
        <v>612</v>
      </c>
      <c r="N369">
        <f t="shared" ca="1" si="42"/>
        <v>292</v>
      </c>
      <c r="O369" s="2">
        <f t="shared" ca="1" si="43"/>
        <v>0.63027806385169927</v>
      </c>
    </row>
    <row r="370" spans="1:15" x14ac:dyDescent="0.3">
      <c r="A370" s="3" t="s">
        <v>575</v>
      </c>
      <c r="B370" t="str">
        <f t="shared" ca="1" si="44"/>
        <v>Ms. Kajal Yadav</v>
      </c>
      <c r="C370">
        <f t="shared" ca="1" si="45"/>
        <v>29</v>
      </c>
      <c r="D370" t="str">
        <f t="shared" si="46"/>
        <v>Female</v>
      </c>
      <c r="E370">
        <f t="shared" ca="1" si="47"/>
        <v>1144719</v>
      </c>
      <c r="F370">
        <f t="shared" ca="1" si="48"/>
        <v>1665104</v>
      </c>
      <c r="G370">
        <f t="shared" ca="1" si="49"/>
        <v>12</v>
      </c>
      <c r="H370">
        <f t="shared" ca="1" si="50"/>
        <v>603</v>
      </c>
      <c r="I370" t="str">
        <f t="shared" ca="1" si="51"/>
        <v>Self-Employed</v>
      </c>
      <c r="J370" t="str">
        <f t="shared" ca="1" si="52"/>
        <v>Personal</v>
      </c>
      <c r="K370" t="str">
        <f t="shared" ca="1" si="53"/>
        <v>Approved</v>
      </c>
      <c r="L370">
        <f t="shared" si="40"/>
        <v>971</v>
      </c>
      <c r="M370">
        <f t="shared" ca="1" si="41"/>
        <v>612</v>
      </c>
      <c r="N370">
        <f t="shared" ca="1" si="42"/>
        <v>292</v>
      </c>
      <c r="O370" s="2">
        <f t="shared" ca="1" si="43"/>
        <v>0.63027806385169927</v>
      </c>
    </row>
    <row r="371" spans="1:15" x14ac:dyDescent="0.3">
      <c r="A371" s="3" t="s">
        <v>576</v>
      </c>
      <c r="B371" t="str">
        <f t="shared" ca="1" si="44"/>
        <v>Ms. Priya Sharma</v>
      </c>
      <c r="C371">
        <f t="shared" ca="1" si="45"/>
        <v>37</v>
      </c>
      <c r="D371" t="str">
        <f t="shared" si="46"/>
        <v>Female</v>
      </c>
      <c r="E371">
        <f t="shared" ca="1" si="47"/>
        <v>604582</v>
      </c>
      <c r="F371">
        <f t="shared" ca="1" si="48"/>
        <v>764700</v>
      </c>
      <c r="G371">
        <f t="shared" ca="1" si="49"/>
        <v>72</v>
      </c>
      <c r="H371">
        <f t="shared" ca="1" si="50"/>
        <v>382</v>
      </c>
      <c r="I371" t="str">
        <f t="shared" ca="1" si="51"/>
        <v>Salaried</v>
      </c>
      <c r="J371" t="str">
        <f t="shared" ca="1" si="52"/>
        <v>Business</v>
      </c>
      <c r="K371" t="str">
        <f t="shared" ca="1" si="53"/>
        <v>Rejected</v>
      </c>
      <c r="L371">
        <f t="shared" si="40"/>
        <v>971</v>
      </c>
      <c r="M371">
        <f t="shared" ca="1" si="41"/>
        <v>612</v>
      </c>
      <c r="N371">
        <f t="shared" ca="1" si="42"/>
        <v>292</v>
      </c>
      <c r="O371" s="2">
        <f t="shared" ca="1" si="43"/>
        <v>0.63027806385169927</v>
      </c>
    </row>
    <row r="372" spans="1:15" x14ac:dyDescent="0.3">
      <c r="A372" s="3" t="s">
        <v>577</v>
      </c>
      <c r="B372" t="str">
        <f t="shared" ca="1" si="44"/>
        <v>Ms. Priya Sharma</v>
      </c>
      <c r="C372">
        <f t="shared" ca="1" si="45"/>
        <v>62</v>
      </c>
      <c r="D372" t="str">
        <f t="shared" si="46"/>
        <v>Female</v>
      </c>
      <c r="E372">
        <f t="shared" ca="1" si="47"/>
        <v>394271</v>
      </c>
      <c r="F372">
        <f t="shared" ca="1" si="48"/>
        <v>2047542</v>
      </c>
      <c r="G372">
        <f t="shared" ca="1" si="49"/>
        <v>84</v>
      </c>
      <c r="H372">
        <f t="shared" ca="1" si="50"/>
        <v>558</v>
      </c>
      <c r="I372" t="str">
        <f t="shared" ca="1" si="51"/>
        <v>Freelancer</v>
      </c>
      <c r="J372" t="str">
        <f t="shared" ca="1" si="52"/>
        <v>Home</v>
      </c>
      <c r="K372" t="str">
        <f t="shared" ca="1" si="53"/>
        <v>Approved</v>
      </c>
      <c r="L372">
        <f t="shared" si="40"/>
        <v>971</v>
      </c>
      <c r="M372">
        <f t="shared" ca="1" si="41"/>
        <v>612</v>
      </c>
      <c r="N372">
        <f t="shared" ca="1" si="42"/>
        <v>292</v>
      </c>
      <c r="O372" s="2">
        <f t="shared" ca="1" si="43"/>
        <v>0.63027806385169927</v>
      </c>
    </row>
    <row r="373" spans="1:15" x14ac:dyDescent="0.3">
      <c r="A373" s="3" t="s">
        <v>578</v>
      </c>
      <c r="B373" t="str">
        <f t="shared" ca="1" si="44"/>
        <v>Ms. Kajal Yadav</v>
      </c>
      <c r="C373">
        <f t="shared" ca="1" si="45"/>
        <v>21</v>
      </c>
      <c r="D373" t="str">
        <f t="shared" si="46"/>
        <v>Male</v>
      </c>
      <c r="E373">
        <f t="shared" ca="1" si="47"/>
        <v>447280</v>
      </c>
      <c r="F373">
        <f t="shared" ca="1" si="48"/>
        <v>1128620</v>
      </c>
      <c r="G373">
        <f t="shared" ca="1" si="49"/>
        <v>24</v>
      </c>
      <c r="H373">
        <f t="shared" ca="1" si="50"/>
        <v>364</v>
      </c>
      <c r="I373" t="str">
        <f t="shared" ca="1" si="51"/>
        <v>Freelancer</v>
      </c>
      <c r="J373" t="str">
        <f t="shared" ca="1" si="52"/>
        <v>Business</v>
      </c>
      <c r="K373" t="str">
        <f t="shared" ca="1" si="53"/>
        <v>Rejected</v>
      </c>
      <c r="L373">
        <f t="shared" si="40"/>
        <v>971</v>
      </c>
      <c r="M373">
        <f t="shared" ca="1" si="41"/>
        <v>612</v>
      </c>
      <c r="N373">
        <f t="shared" ca="1" si="42"/>
        <v>292</v>
      </c>
      <c r="O373" s="2">
        <f t="shared" ca="1" si="43"/>
        <v>0.63027806385169927</v>
      </c>
    </row>
    <row r="374" spans="1:15" x14ac:dyDescent="0.3">
      <c r="A374" s="3" t="s">
        <v>579</v>
      </c>
      <c r="B374" t="str">
        <f t="shared" ca="1" si="44"/>
        <v>Ms. Neha Verma</v>
      </c>
      <c r="C374">
        <f t="shared" ca="1" si="45"/>
        <v>61</v>
      </c>
      <c r="D374" t="str">
        <f t="shared" si="46"/>
        <v>Female</v>
      </c>
      <c r="E374">
        <f t="shared" ca="1" si="47"/>
        <v>239992</v>
      </c>
      <c r="F374">
        <f t="shared" ca="1" si="48"/>
        <v>1129408</v>
      </c>
      <c r="G374">
        <f t="shared" ca="1" si="49"/>
        <v>36</v>
      </c>
      <c r="H374">
        <f t="shared" ca="1" si="50"/>
        <v>822</v>
      </c>
      <c r="I374" t="str">
        <f t="shared" ca="1" si="51"/>
        <v>Freelancer</v>
      </c>
      <c r="J374" t="str">
        <f t="shared" ca="1" si="52"/>
        <v>Home</v>
      </c>
      <c r="K374" t="str">
        <f t="shared" ca="1" si="53"/>
        <v>Approved</v>
      </c>
      <c r="L374">
        <f t="shared" si="40"/>
        <v>971</v>
      </c>
      <c r="M374">
        <f t="shared" ca="1" si="41"/>
        <v>612</v>
      </c>
      <c r="N374">
        <f t="shared" ca="1" si="42"/>
        <v>292</v>
      </c>
      <c r="O374" s="2">
        <f t="shared" ca="1" si="43"/>
        <v>0.63027806385169927</v>
      </c>
    </row>
    <row r="375" spans="1:15" x14ac:dyDescent="0.3">
      <c r="A375" s="3" t="s">
        <v>580</v>
      </c>
      <c r="B375" t="str">
        <f t="shared" ca="1" si="44"/>
        <v>Ms. Kajal Yadav</v>
      </c>
      <c r="C375">
        <f t="shared" ca="1" si="45"/>
        <v>27</v>
      </c>
      <c r="D375" t="str">
        <f t="shared" si="46"/>
        <v>Female</v>
      </c>
      <c r="E375">
        <f t="shared" ca="1" si="47"/>
        <v>1956964</v>
      </c>
      <c r="F375">
        <f t="shared" ca="1" si="48"/>
        <v>2024444</v>
      </c>
      <c r="G375">
        <f t="shared" ca="1" si="49"/>
        <v>60</v>
      </c>
      <c r="H375">
        <f t="shared" ca="1" si="50"/>
        <v>433</v>
      </c>
      <c r="I375" t="str">
        <f t="shared" ca="1" si="51"/>
        <v>Freelancer</v>
      </c>
      <c r="J375" t="str">
        <f t="shared" ca="1" si="52"/>
        <v>Education</v>
      </c>
      <c r="K375" t="str">
        <f t="shared" ca="1" si="53"/>
        <v>Approved</v>
      </c>
      <c r="L375">
        <f t="shared" si="40"/>
        <v>971</v>
      </c>
      <c r="M375">
        <f t="shared" ca="1" si="41"/>
        <v>612</v>
      </c>
      <c r="N375">
        <f t="shared" ca="1" si="42"/>
        <v>292</v>
      </c>
      <c r="O375" s="2">
        <f t="shared" ca="1" si="43"/>
        <v>0.63027806385169927</v>
      </c>
    </row>
    <row r="376" spans="1:15" x14ac:dyDescent="0.3">
      <c r="A376" s="3" t="s">
        <v>581</v>
      </c>
      <c r="B376" t="str">
        <f t="shared" ca="1" si="44"/>
        <v>Mr. Suresh Rao</v>
      </c>
      <c r="C376">
        <f t="shared" ca="1" si="45"/>
        <v>54</v>
      </c>
      <c r="D376" t="str">
        <f t="shared" si="46"/>
        <v>Male</v>
      </c>
      <c r="E376">
        <f t="shared" ca="1" si="47"/>
        <v>1204790</v>
      </c>
      <c r="F376">
        <f t="shared" ca="1" si="48"/>
        <v>2268672</v>
      </c>
      <c r="G376">
        <f t="shared" ca="1" si="49"/>
        <v>24</v>
      </c>
      <c r="H376">
        <f t="shared" ca="1" si="50"/>
        <v>430</v>
      </c>
      <c r="I376" t="str">
        <f t="shared" ca="1" si="51"/>
        <v>Contract-Based</v>
      </c>
      <c r="J376" t="str">
        <f t="shared" ca="1" si="52"/>
        <v>Car</v>
      </c>
      <c r="K376" t="str">
        <f t="shared" ca="1" si="53"/>
        <v>Approved</v>
      </c>
      <c r="L376">
        <f t="shared" si="40"/>
        <v>971</v>
      </c>
      <c r="M376">
        <f t="shared" ca="1" si="41"/>
        <v>612</v>
      </c>
      <c r="N376">
        <f t="shared" ca="1" si="42"/>
        <v>292</v>
      </c>
      <c r="O376" s="2">
        <f t="shared" ca="1" si="43"/>
        <v>0.63027806385169927</v>
      </c>
    </row>
    <row r="377" spans="1:15" x14ac:dyDescent="0.3">
      <c r="A377" s="3" t="s">
        <v>582</v>
      </c>
      <c r="B377" t="str">
        <f t="shared" ca="1" si="44"/>
        <v>Mr. Rohan Gupta</v>
      </c>
      <c r="C377">
        <f t="shared" ca="1" si="45"/>
        <v>59</v>
      </c>
      <c r="D377" t="str">
        <f t="shared" si="46"/>
        <v>Female</v>
      </c>
      <c r="E377">
        <f t="shared" ca="1" si="47"/>
        <v>1038506</v>
      </c>
      <c r="F377">
        <f t="shared" ca="1" si="48"/>
        <v>507206</v>
      </c>
      <c r="G377">
        <f t="shared" ca="1" si="49"/>
        <v>72</v>
      </c>
      <c r="H377">
        <f t="shared" ca="1" si="50"/>
        <v>446</v>
      </c>
      <c r="I377" t="str">
        <f t="shared" ca="1" si="51"/>
        <v>Business</v>
      </c>
      <c r="J377" t="str">
        <f t="shared" ca="1" si="52"/>
        <v>Home</v>
      </c>
      <c r="K377" t="str">
        <f t="shared" ca="1" si="53"/>
        <v>Approved</v>
      </c>
      <c r="L377">
        <f t="shared" si="40"/>
        <v>971</v>
      </c>
      <c r="M377">
        <f t="shared" ca="1" si="41"/>
        <v>612</v>
      </c>
      <c r="N377">
        <f t="shared" ca="1" si="42"/>
        <v>292</v>
      </c>
      <c r="O377" s="2">
        <f t="shared" ca="1" si="43"/>
        <v>0.63027806385169927</v>
      </c>
    </row>
    <row r="378" spans="1:15" x14ac:dyDescent="0.3">
      <c r="A378" s="3" t="s">
        <v>583</v>
      </c>
      <c r="B378" t="str">
        <f t="shared" ca="1" si="44"/>
        <v>Ms. Kajal Yadav</v>
      </c>
      <c r="C378">
        <f t="shared" ca="1" si="45"/>
        <v>28</v>
      </c>
      <c r="D378" t="str">
        <f t="shared" si="46"/>
        <v>Female</v>
      </c>
      <c r="E378">
        <f t="shared" ca="1" si="47"/>
        <v>405663</v>
      </c>
      <c r="F378">
        <f t="shared" ca="1" si="48"/>
        <v>836757</v>
      </c>
      <c r="G378">
        <f t="shared" ca="1" si="49"/>
        <v>72</v>
      </c>
      <c r="H378">
        <f t="shared" ca="1" si="50"/>
        <v>391</v>
      </c>
      <c r="I378" t="str">
        <f t="shared" ca="1" si="51"/>
        <v>Freelancer</v>
      </c>
      <c r="J378" t="str">
        <f t="shared" ca="1" si="52"/>
        <v>Education</v>
      </c>
      <c r="K378" t="str">
        <f t="shared" ca="1" si="53"/>
        <v>Approved</v>
      </c>
      <c r="L378">
        <f t="shared" si="40"/>
        <v>971</v>
      </c>
      <c r="M378">
        <f t="shared" ca="1" si="41"/>
        <v>612</v>
      </c>
      <c r="N378">
        <f t="shared" ca="1" si="42"/>
        <v>292</v>
      </c>
      <c r="O378" s="2">
        <f t="shared" ca="1" si="43"/>
        <v>0.63027806385169927</v>
      </c>
    </row>
    <row r="379" spans="1:15" x14ac:dyDescent="0.3">
      <c r="A379" s="3" t="s">
        <v>584</v>
      </c>
      <c r="B379" t="str">
        <f t="shared" ca="1" si="44"/>
        <v>Ms. Neha Verma</v>
      </c>
      <c r="C379">
        <f t="shared" ca="1" si="45"/>
        <v>26</v>
      </c>
      <c r="D379" t="str">
        <f t="shared" si="46"/>
        <v>Female</v>
      </c>
      <c r="E379">
        <f t="shared" ca="1" si="47"/>
        <v>1140755</v>
      </c>
      <c r="F379">
        <f t="shared" ca="1" si="48"/>
        <v>2099570</v>
      </c>
      <c r="G379">
        <f t="shared" ca="1" si="49"/>
        <v>48</v>
      </c>
      <c r="H379">
        <f t="shared" ca="1" si="50"/>
        <v>790</v>
      </c>
      <c r="I379" t="str">
        <f t="shared" ca="1" si="51"/>
        <v>Self-Employed</v>
      </c>
      <c r="J379" t="str">
        <f t="shared" ca="1" si="52"/>
        <v>Car</v>
      </c>
      <c r="K379" t="str">
        <f t="shared" ca="1" si="53"/>
        <v>Rejected</v>
      </c>
      <c r="L379">
        <f t="shared" si="40"/>
        <v>971</v>
      </c>
      <c r="M379">
        <f t="shared" ca="1" si="41"/>
        <v>612</v>
      </c>
      <c r="N379">
        <f t="shared" ca="1" si="42"/>
        <v>292</v>
      </c>
      <c r="O379" s="2">
        <f t="shared" ca="1" si="43"/>
        <v>0.63027806385169927</v>
      </c>
    </row>
    <row r="380" spans="1:15" x14ac:dyDescent="0.3">
      <c r="A380" s="3" t="s">
        <v>585</v>
      </c>
      <c r="B380" t="str">
        <f t="shared" ca="1" si="44"/>
        <v>Mr. Rohan Gupta</v>
      </c>
      <c r="C380">
        <f t="shared" ca="1" si="45"/>
        <v>29</v>
      </c>
      <c r="D380" t="str">
        <f t="shared" si="46"/>
        <v>Male</v>
      </c>
      <c r="E380">
        <f t="shared" ca="1" si="47"/>
        <v>462552</v>
      </c>
      <c r="F380">
        <f t="shared" ca="1" si="48"/>
        <v>454865</v>
      </c>
      <c r="G380">
        <f t="shared" ca="1" si="49"/>
        <v>24</v>
      </c>
      <c r="H380">
        <f t="shared" ca="1" si="50"/>
        <v>689</v>
      </c>
      <c r="I380" t="str">
        <f t="shared" ca="1" si="51"/>
        <v>Self-Employed</v>
      </c>
      <c r="J380" t="str">
        <f t="shared" ca="1" si="52"/>
        <v>Education</v>
      </c>
      <c r="K380" t="str">
        <f t="shared" ca="1" si="53"/>
        <v>Approved</v>
      </c>
      <c r="L380">
        <f t="shared" si="40"/>
        <v>971</v>
      </c>
      <c r="M380">
        <f t="shared" ca="1" si="41"/>
        <v>612</v>
      </c>
      <c r="N380">
        <f t="shared" ca="1" si="42"/>
        <v>292</v>
      </c>
      <c r="O380" s="2">
        <f t="shared" ca="1" si="43"/>
        <v>0.63027806385169927</v>
      </c>
    </row>
    <row r="381" spans="1:15" x14ac:dyDescent="0.3">
      <c r="A381" s="3" t="s">
        <v>586</v>
      </c>
      <c r="B381" t="str">
        <f t="shared" ca="1" si="44"/>
        <v>Mr. Raj Kumar</v>
      </c>
      <c r="C381">
        <f t="shared" ca="1" si="45"/>
        <v>45</v>
      </c>
      <c r="D381" t="str">
        <f t="shared" si="46"/>
        <v>Female</v>
      </c>
      <c r="E381">
        <f t="shared" ca="1" si="47"/>
        <v>1684522</v>
      </c>
      <c r="F381">
        <f t="shared" ca="1" si="48"/>
        <v>1461442</v>
      </c>
      <c r="G381">
        <f t="shared" ca="1" si="49"/>
        <v>72</v>
      </c>
      <c r="H381">
        <f t="shared" ca="1" si="50"/>
        <v>387</v>
      </c>
      <c r="I381" t="str">
        <f t="shared" ca="1" si="51"/>
        <v>Self-Employed</v>
      </c>
      <c r="J381" t="str">
        <f t="shared" ca="1" si="52"/>
        <v>Personal</v>
      </c>
      <c r="K381" t="str">
        <f t="shared" ca="1" si="53"/>
        <v>Approved</v>
      </c>
      <c r="L381">
        <f t="shared" si="40"/>
        <v>971</v>
      </c>
      <c r="M381">
        <f t="shared" ca="1" si="41"/>
        <v>612</v>
      </c>
      <c r="N381">
        <f t="shared" ca="1" si="42"/>
        <v>292</v>
      </c>
      <c r="O381" s="2">
        <f t="shared" ca="1" si="43"/>
        <v>0.63027806385169927</v>
      </c>
    </row>
    <row r="382" spans="1:15" x14ac:dyDescent="0.3">
      <c r="A382" s="3" t="s">
        <v>587</v>
      </c>
      <c r="B382" t="str">
        <f t="shared" ca="1" si="44"/>
        <v>Ms. Priya Sharma</v>
      </c>
      <c r="C382">
        <f t="shared" ca="1" si="45"/>
        <v>34</v>
      </c>
      <c r="D382" t="str">
        <f t="shared" si="46"/>
        <v>Female</v>
      </c>
      <c r="E382">
        <f t="shared" ca="1" si="47"/>
        <v>389016</v>
      </c>
      <c r="F382">
        <f t="shared" ca="1" si="48"/>
        <v>2304995</v>
      </c>
      <c r="G382">
        <f t="shared" ca="1" si="49"/>
        <v>72</v>
      </c>
      <c r="H382">
        <f t="shared" ca="1" si="50"/>
        <v>835</v>
      </c>
      <c r="I382" t="str">
        <f t="shared" ca="1" si="51"/>
        <v>Self-Employed</v>
      </c>
      <c r="J382" t="str">
        <f t="shared" ca="1" si="52"/>
        <v>Home</v>
      </c>
      <c r="K382" t="str">
        <f t="shared" ca="1" si="53"/>
        <v>Approved</v>
      </c>
      <c r="L382">
        <f t="shared" si="40"/>
        <v>971</v>
      </c>
      <c r="M382">
        <f t="shared" ca="1" si="41"/>
        <v>612</v>
      </c>
      <c r="N382">
        <f t="shared" ca="1" si="42"/>
        <v>292</v>
      </c>
      <c r="O382" s="2">
        <f t="shared" ca="1" si="43"/>
        <v>0.63027806385169927</v>
      </c>
    </row>
    <row r="383" spans="1:15" x14ac:dyDescent="0.3">
      <c r="A383" s="3" t="s">
        <v>588</v>
      </c>
      <c r="B383" t="str">
        <f t="shared" ca="1" si="44"/>
        <v>Ms. Priya Sharma</v>
      </c>
      <c r="C383">
        <f t="shared" ca="1" si="45"/>
        <v>56</v>
      </c>
      <c r="D383" t="str">
        <f t="shared" si="46"/>
        <v>Male</v>
      </c>
      <c r="E383">
        <f t="shared" ca="1" si="47"/>
        <v>204592</v>
      </c>
      <c r="F383">
        <f t="shared" ca="1" si="48"/>
        <v>686513</v>
      </c>
      <c r="G383">
        <f t="shared" ca="1" si="49"/>
        <v>24</v>
      </c>
      <c r="H383">
        <f t="shared" ca="1" si="50"/>
        <v>432</v>
      </c>
      <c r="I383" t="str">
        <f t="shared" ca="1" si="51"/>
        <v>Salaried</v>
      </c>
      <c r="J383" t="str">
        <f t="shared" ca="1" si="52"/>
        <v>Education</v>
      </c>
      <c r="K383" t="str">
        <f t="shared" ca="1" si="53"/>
        <v>Approved</v>
      </c>
      <c r="L383">
        <f t="shared" si="40"/>
        <v>971</v>
      </c>
      <c r="M383">
        <f t="shared" ca="1" si="41"/>
        <v>612</v>
      </c>
      <c r="N383">
        <f t="shared" ca="1" si="42"/>
        <v>292</v>
      </c>
      <c r="O383" s="2">
        <f t="shared" ca="1" si="43"/>
        <v>0.63027806385169927</v>
      </c>
    </row>
    <row r="384" spans="1:15" x14ac:dyDescent="0.3">
      <c r="A384" s="3" t="s">
        <v>589</v>
      </c>
      <c r="B384" t="str">
        <f t="shared" ca="1" si="44"/>
        <v>Mr. Suresh Rao</v>
      </c>
      <c r="C384">
        <f t="shared" ca="1" si="45"/>
        <v>23</v>
      </c>
      <c r="D384" t="str">
        <f t="shared" si="46"/>
        <v>Male</v>
      </c>
      <c r="E384">
        <f t="shared" ca="1" si="47"/>
        <v>1910424</v>
      </c>
      <c r="F384">
        <f t="shared" ca="1" si="48"/>
        <v>83881</v>
      </c>
      <c r="G384">
        <f t="shared" ca="1" si="49"/>
        <v>36</v>
      </c>
      <c r="H384">
        <f t="shared" ca="1" si="50"/>
        <v>770</v>
      </c>
      <c r="I384" t="str">
        <f t="shared" ca="1" si="51"/>
        <v>Student</v>
      </c>
      <c r="J384" t="str">
        <f t="shared" ca="1" si="52"/>
        <v>Personal</v>
      </c>
      <c r="K384" t="str">
        <f t="shared" ca="1" si="53"/>
        <v>Rejected</v>
      </c>
      <c r="L384">
        <f t="shared" si="40"/>
        <v>971</v>
      </c>
      <c r="M384">
        <f t="shared" ca="1" si="41"/>
        <v>612</v>
      </c>
      <c r="N384">
        <f t="shared" ca="1" si="42"/>
        <v>292</v>
      </c>
      <c r="O384" s="2">
        <f t="shared" ca="1" si="43"/>
        <v>0.63027806385169927</v>
      </c>
    </row>
    <row r="385" spans="1:15" x14ac:dyDescent="0.3">
      <c r="A385" s="3" t="s">
        <v>590</v>
      </c>
      <c r="B385" t="str">
        <f t="shared" ca="1" si="44"/>
        <v>Mr. Raj Kumar</v>
      </c>
      <c r="C385">
        <f t="shared" ca="1" si="45"/>
        <v>31</v>
      </c>
      <c r="D385" t="str">
        <f t="shared" si="46"/>
        <v>Female</v>
      </c>
      <c r="E385">
        <f t="shared" ca="1" si="47"/>
        <v>716734</v>
      </c>
      <c r="F385">
        <f t="shared" ca="1" si="48"/>
        <v>546569</v>
      </c>
      <c r="G385">
        <f t="shared" ca="1" si="49"/>
        <v>84</v>
      </c>
      <c r="H385">
        <f t="shared" ca="1" si="50"/>
        <v>885</v>
      </c>
      <c r="I385" t="str">
        <f t="shared" ca="1" si="51"/>
        <v>Contract-Based</v>
      </c>
      <c r="J385" t="str">
        <f t="shared" ca="1" si="52"/>
        <v>Car</v>
      </c>
      <c r="K385" t="str">
        <f t="shared" ca="1" si="53"/>
        <v>Rejected</v>
      </c>
      <c r="L385">
        <f t="shared" si="40"/>
        <v>971</v>
      </c>
      <c r="M385">
        <f t="shared" ca="1" si="41"/>
        <v>612</v>
      </c>
      <c r="N385">
        <f t="shared" ca="1" si="42"/>
        <v>292</v>
      </c>
      <c r="O385" s="2">
        <f t="shared" ca="1" si="43"/>
        <v>0.63027806385169927</v>
      </c>
    </row>
    <row r="386" spans="1:15" x14ac:dyDescent="0.3">
      <c r="A386" s="3" t="s">
        <v>591</v>
      </c>
      <c r="B386" t="str">
        <f t="shared" ca="1" si="44"/>
        <v>Ms. Kajal Yadav</v>
      </c>
      <c r="C386">
        <f t="shared" ca="1" si="45"/>
        <v>36</v>
      </c>
      <c r="D386" t="str">
        <f t="shared" si="46"/>
        <v>Female</v>
      </c>
      <c r="E386">
        <f t="shared" ca="1" si="47"/>
        <v>1197272</v>
      </c>
      <c r="F386">
        <f t="shared" ca="1" si="48"/>
        <v>2077707</v>
      </c>
      <c r="G386">
        <f t="shared" ca="1" si="49"/>
        <v>84</v>
      </c>
      <c r="H386">
        <f t="shared" ca="1" si="50"/>
        <v>411</v>
      </c>
      <c r="I386" t="str">
        <f t="shared" ca="1" si="51"/>
        <v>Business</v>
      </c>
      <c r="J386" t="str">
        <f t="shared" ca="1" si="52"/>
        <v>Personal</v>
      </c>
      <c r="K386" t="str">
        <f t="shared" ca="1" si="53"/>
        <v>Approved</v>
      </c>
      <c r="L386">
        <f t="shared" ref="L386:L449" si="54">COUNTA($A$2:$A$1001)</f>
        <v>971</v>
      </c>
      <c r="M386">
        <f t="shared" ca="1" si="41"/>
        <v>612</v>
      </c>
      <c r="N386">
        <f t="shared" ca="1" si="42"/>
        <v>292</v>
      </c>
      <c r="O386" s="2">
        <f t="shared" ca="1" si="43"/>
        <v>0.63027806385169927</v>
      </c>
    </row>
    <row r="387" spans="1:15" x14ac:dyDescent="0.3">
      <c r="A387" s="3" t="s">
        <v>592</v>
      </c>
      <c r="B387" t="str">
        <f t="shared" ca="1" si="44"/>
        <v>Mr. Suresh Rao</v>
      </c>
      <c r="C387">
        <f t="shared" ca="1" si="45"/>
        <v>29</v>
      </c>
      <c r="D387" t="str">
        <f t="shared" si="46"/>
        <v>Female</v>
      </c>
      <c r="E387">
        <f t="shared" ca="1" si="47"/>
        <v>1382502</v>
      </c>
      <c r="F387">
        <f t="shared" ca="1" si="48"/>
        <v>777295</v>
      </c>
      <c r="G387">
        <f t="shared" ca="1" si="49"/>
        <v>12</v>
      </c>
      <c r="H387">
        <f t="shared" ca="1" si="50"/>
        <v>345</v>
      </c>
      <c r="I387" t="str">
        <f t="shared" ca="1" si="51"/>
        <v>Student</v>
      </c>
      <c r="J387" t="str">
        <f t="shared" ca="1" si="52"/>
        <v>Education</v>
      </c>
      <c r="K387" t="str">
        <f t="shared" ca="1" si="53"/>
        <v>Approved</v>
      </c>
      <c r="L387">
        <f t="shared" si="54"/>
        <v>971</v>
      </c>
      <c r="M387">
        <f t="shared" ref="M387:M450" ca="1" si="55">COUNTIF($K$2:$K$1001,"Approved")</f>
        <v>612</v>
      </c>
      <c r="N387">
        <f t="shared" ref="N387:N450" ca="1" si="56">COUNTIF($K$2:$K$1001,"Rejected")</f>
        <v>292</v>
      </c>
      <c r="O387" s="2">
        <f t="shared" ref="O387:O450" ca="1" si="57">COUNTIF($K$2:$K$1001,"Approved") / COUNTA($A$2:$A$1001)</f>
        <v>0.63027806385169927</v>
      </c>
    </row>
    <row r="388" spans="1:15" x14ac:dyDescent="0.3">
      <c r="A388" s="3" t="s">
        <v>593</v>
      </c>
      <c r="B388" t="str">
        <f t="shared" ca="1" si="44"/>
        <v>Ms. Priya Sharma</v>
      </c>
      <c r="C388">
        <f t="shared" ca="1" si="45"/>
        <v>22</v>
      </c>
      <c r="D388" t="str">
        <f t="shared" si="46"/>
        <v>Female</v>
      </c>
      <c r="E388">
        <f t="shared" ca="1" si="47"/>
        <v>430211</v>
      </c>
      <c r="F388">
        <f t="shared" ca="1" si="48"/>
        <v>1735016</v>
      </c>
      <c r="G388">
        <f t="shared" ca="1" si="49"/>
        <v>12</v>
      </c>
      <c r="H388">
        <f t="shared" ca="1" si="50"/>
        <v>900</v>
      </c>
      <c r="I388" t="str">
        <f t="shared" ca="1" si="51"/>
        <v>Salaried</v>
      </c>
      <c r="J388" t="str">
        <f t="shared" ca="1" si="52"/>
        <v>Education</v>
      </c>
      <c r="K388" t="str">
        <f t="shared" ca="1" si="53"/>
        <v>Approved</v>
      </c>
      <c r="L388">
        <f t="shared" si="54"/>
        <v>971</v>
      </c>
      <c r="M388">
        <f t="shared" ca="1" si="55"/>
        <v>612</v>
      </c>
      <c r="N388">
        <f t="shared" ca="1" si="56"/>
        <v>292</v>
      </c>
      <c r="O388" s="2">
        <f t="shared" ca="1" si="57"/>
        <v>0.63027806385169927</v>
      </c>
    </row>
    <row r="389" spans="1:15" x14ac:dyDescent="0.3">
      <c r="A389" s="3" t="s">
        <v>594</v>
      </c>
      <c r="B389" t="str">
        <f t="shared" ca="1" si="44"/>
        <v>Mr. Suresh Rao</v>
      </c>
      <c r="C389">
        <f t="shared" ca="1" si="45"/>
        <v>58</v>
      </c>
      <c r="D389" t="str">
        <f t="shared" si="46"/>
        <v>Female</v>
      </c>
      <c r="E389">
        <f t="shared" ca="1" si="47"/>
        <v>1541117</v>
      </c>
      <c r="F389">
        <f t="shared" ca="1" si="48"/>
        <v>1945410</v>
      </c>
      <c r="G389">
        <f t="shared" ca="1" si="49"/>
        <v>84</v>
      </c>
      <c r="H389">
        <f t="shared" ca="1" si="50"/>
        <v>813</v>
      </c>
      <c r="I389" t="str">
        <f t="shared" ca="1" si="51"/>
        <v>Contract-Based</v>
      </c>
      <c r="J389" t="str">
        <f t="shared" ca="1" si="52"/>
        <v>Business</v>
      </c>
      <c r="K389" t="str">
        <f t="shared" ca="1" si="53"/>
        <v>Approved</v>
      </c>
      <c r="L389">
        <f t="shared" si="54"/>
        <v>971</v>
      </c>
      <c r="M389">
        <f t="shared" ca="1" si="55"/>
        <v>612</v>
      </c>
      <c r="N389">
        <f t="shared" ca="1" si="56"/>
        <v>292</v>
      </c>
      <c r="O389" s="2">
        <f t="shared" ca="1" si="57"/>
        <v>0.63027806385169927</v>
      </c>
    </row>
    <row r="390" spans="1:15" x14ac:dyDescent="0.3">
      <c r="A390" s="3" t="s">
        <v>595</v>
      </c>
      <c r="B390" t="str">
        <f t="shared" ca="1" si="44"/>
        <v>Mr. Raj Kumar</v>
      </c>
      <c r="C390">
        <f t="shared" ca="1" si="45"/>
        <v>41</v>
      </c>
      <c r="D390" t="str">
        <f t="shared" si="46"/>
        <v>Male</v>
      </c>
      <c r="E390">
        <f t="shared" ca="1" si="47"/>
        <v>234666</v>
      </c>
      <c r="F390">
        <f t="shared" ca="1" si="48"/>
        <v>451299</v>
      </c>
      <c r="G390">
        <f t="shared" ca="1" si="49"/>
        <v>84</v>
      </c>
      <c r="H390">
        <f t="shared" ca="1" si="50"/>
        <v>788</v>
      </c>
      <c r="I390" t="str">
        <f t="shared" ca="1" si="51"/>
        <v>Student</v>
      </c>
      <c r="J390" t="str">
        <f t="shared" ca="1" si="52"/>
        <v>Business</v>
      </c>
      <c r="K390" t="str">
        <f t="shared" ca="1" si="53"/>
        <v>Approved</v>
      </c>
      <c r="L390">
        <f t="shared" si="54"/>
        <v>971</v>
      </c>
      <c r="M390">
        <f t="shared" ca="1" si="55"/>
        <v>612</v>
      </c>
      <c r="N390">
        <f t="shared" ca="1" si="56"/>
        <v>292</v>
      </c>
      <c r="O390" s="2">
        <f t="shared" ca="1" si="57"/>
        <v>0.63027806385169927</v>
      </c>
    </row>
    <row r="391" spans="1:15" x14ac:dyDescent="0.3">
      <c r="A391" s="3" t="s">
        <v>596</v>
      </c>
      <c r="B391" t="str">
        <f t="shared" ca="1" si="44"/>
        <v>Ms. Anjali Singh</v>
      </c>
      <c r="C391">
        <f t="shared" ca="1" si="45"/>
        <v>25</v>
      </c>
      <c r="D391" t="str">
        <f t="shared" si="46"/>
        <v>Male</v>
      </c>
      <c r="E391">
        <f t="shared" ca="1" si="47"/>
        <v>1871941</v>
      </c>
      <c r="F391">
        <f t="shared" ca="1" si="48"/>
        <v>1400703</v>
      </c>
      <c r="G391">
        <f t="shared" ca="1" si="49"/>
        <v>24</v>
      </c>
      <c r="H391">
        <f t="shared" ca="1" si="50"/>
        <v>543</v>
      </c>
      <c r="I391" t="str">
        <f t="shared" ca="1" si="51"/>
        <v>Contract-Based</v>
      </c>
      <c r="J391" t="str">
        <f t="shared" ca="1" si="52"/>
        <v>Car</v>
      </c>
      <c r="K391" t="str">
        <f t="shared" ca="1" si="53"/>
        <v>Approved</v>
      </c>
      <c r="L391">
        <f t="shared" si="54"/>
        <v>971</v>
      </c>
      <c r="M391">
        <f t="shared" ca="1" si="55"/>
        <v>612</v>
      </c>
      <c r="N391">
        <f t="shared" ca="1" si="56"/>
        <v>292</v>
      </c>
      <c r="O391" s="2">
        <f t="shared" ca="1" si="57"/>
        <v>0.63027806385169927</v>
      </c>
    </row>
    <row r="392" spans="1:15" x14ac:dyDescent="0.3">
      <c r="A392" s="3" t="s">
        <v>597</v>
      </c>
      <c r="B392" t="str">
        <f t="shared" ca="1" si="44"/>
        <v>Ms. Pooja Patel</v>
      </c>
      <c r="C392">
        <f t="shared" ca="1" si="45"/>
        <v>33</v>
      </c>
      <c r="D392" t="str">
        <f t="shared" si="46"/>
        <v>Female</v>
      </c>
      <c r="E392">
        <f t="shared" ca="1" si="47"/>
        <v>1557450</v>
      </c>
      <c r="F392">
        <f t="shared" ca="1" si="48"/>
        <v>1709462</v>
      </c>
      <c r="G392">
        <f t="shared" ca="1" si="49"/>
        <v>48</v>
      </c>
      <c r="H392">
        <f t="shared" ca="1" si="50"/>
        <v>721</v>
      </c>
      <c r="I392" t="str">
        <f t="shared" ca="1" si="51"/>
        <v>Student</v>
      </c>
      <c r="J392" t="str">
        <f t="shared" ca="1" si="52"/>
        <v>Car</v>
      </c>
      <c r="K392" t="str">
        <f t="shared" ca="1" si="53"/>
        <v>Approved</v>
      </c>
      <c r="L392">
        <f t="shared" si="54"/>
        <v>971</v>
      </c>
      <c r="M392">
        <f t="shared" ca="1" si="55"/>
        <v>612</v>
      </c>
      <c r="N392">
        <f t="shared" ca="1" si="56"/>
        <v>292</v>
      </c>
      <c r="O392" s="2">
        <f t="shared" ca="1" si="57"/>
        <v>0.63027806385169927</v>
      </c>
    </row>
    <row r="393" spans="1:15" x14ac:dyDescent="0.3">
      <c r="A393" s="3" t="s">
        <v>598</v>
      </c>
      <c r="B393" t="str">
        <f t="shared" ca="1" si="44"/>
        <v>Ms. Pooja Patel</v>
      </c>
      <c r="C393">
        <f t="shared" ca="1" si="45"/>
        <v>32</v>
      </c>
      <c r="D393" t="str">
        <f t="shared" si="46"/>
        <v>Male</v>
      </c>
      <c r="E393">
        <f t="shared" ca="1" si="47"/>
        <v>879218</v>
      </c>
      <c r="F393">
        <f t="shared" ca="1" si="48"/>
        <v>1195979</v>
      </c>
      <c r="G393">
        <f t="shared" ca="1" si="49"/>
        <v>36</v>
      </c>
      <c r="H393">
        <f t="shared" ca="1" si="50"/>
        <v>726</v>
      </c>
      <c r="I393" t="str">
        <f t="shared" ca="1" si="51"/>
        <v>Freelancer</v>
      </c>
      <c r="J393" t="str">
        <f t="shared" ca="1" si="52"/>
        <v>Business</v>
      </c>
      <c r="K393" t="str">
        <f t="shared" ca="1" si="53"/>
        <v>Approved</v>
      </c>
      <c r="L393">
        <f t="shared" si="54"/>
        <v>971</v>
      </c>
      <c r="M393">
        <f t="shared" ca="1" si="55"/>
        <v>612</v>
      </c>
      <c r="N393">
        <f t="shared" ca="1" si="56"/>
        <v>292</v>
      </c>
      <c r="O393" s="2">
        <f t="shared" ca="1" si="57"/>
        <v>0.63027806385169927</v>
      </c>
    </row>
    <row r="394" spans="1:15" x14ac:dyDescent="0.3">
      <c r="A394" s="3" t="s">
        <v>599</v>
      </c>
      <c r="B394" t="str">
        <f t="shared" ca="1" si="44"/>
        <v>Ms. Pooja Patel</v>
      </c>
      <c r="C394">
        <f t="shared" ca="1" si="45"/>
        <v>39</v>
      </c>
      <c r="D394" t="str">
        <f t="shared" si="46"/>
        <v>Male</v>
      </c>
      <c r="E394">
        <f t="shared" ca="1" si="47"/>
        <v>379267</v>
      </c>
      <c r="F394">
        <f t="shared" ca="1" si="48"/>
        <v>1526579</v>
      </c>
      <c r="G394">
        <f t="shared" ca="1" si="49"/>
        <v>12</v>
      </c>
      <c r="H394">
        <f t="shared" ca="1" si="50"/>
        <v>759</v>
      </c>
      <c r="I394" t="str">
        <f t="shared" ca="1" si="51"/>
        <v>Business</v>
      </c>
      <c r="J394" t="str">
        <f t="shared" ca="1" si="52"/>
        <v>Education</v>
      </c>
      <c r="K394" t="str">
        <f t="shared" ca="1" si="53"/>
        <v>Approved</v>
      </c>
      <c r="L394">
        <f t="shared" si="54"/>
        <v>971</v>
      </c>
      <c r="M394">
        <f t="shared" ca="1" si="55"/>
        <v>612</v>
      </c>
      <c r="N394">
        <f t="shared" ca="1" si="56"/>
        <v>292</v>
      </c>
      <c r="O394" s="2">
        <f t="shared" ca="1" si="57"/>
        <v>0.63027806385169927</v>
      </c>
    </row>
    <row r="395" spans="1:15" x14ac:dyDescent="0.3">
      <c r="A395" s="3" t="s">
        <v>600</v>
      </c>
      <c r="B395" t="str">
        <f t="shared" ref="B395:B458" ca="1" si="58">CHOOSE(RANDBETWEEN(1,10),
"Mr. Raj Kumar","Ms. Priya Sharma","Mr. Amit Das","Ms. Anjali Singh","Mr. Rohan Gupta",
"Ms. Neha Verma","Mr. Suresh Rao","Ms. Pooja Patel","Mr. Arun Kumar","Ms. Kajal Yadav")</f>
        <v>Ms. Kajal Yadav</v>
      </c>
      <c r="C395">
        <f t="shared" ref="C395:C458" ca="1" si="59">RANDBETWEEN(21,65)</f>
        <v>52</v>
      </c>
      <c r="D395" t="str">
        <f t="shared" ref="D395:D458" si="60">IF(LEFT(B195,3)="Mr.","Male","Female")</f>
        <v>Female</v>
      </c>
      <c r="E395">
        <f t="shared" ref="E395:E458" ca="1" si="61">RANDBETWEEN(200000,2000000)</f>
        <v>1935970</v>
      </c>
      <c r="F395">
        <f t="shared" ref="F395:F458" ca="1" si="62">RANDBETWEEN(50000,2500000)</f>
        <v>2281402</v>
      </c>
      <c r="G395">
        <f t="shared" ref="G395:G458" ca="1" si="63">CHOOSE(RANDBETWEEN(1,7),12,24,36,48,60,72,84)</f>
        <v>48</v>
      </c>
      <c r="H395">
        <f t="shared" ref="H395:H458" ca="1" si="64">RANDBETWEEN(300,900)</f>
        <v>402</v>
      </c>
      <c r="I395" t="str">
        <f t="shared" ref="I395:I458" ca="1" si="65">CHOOSE(RANDBETWEEN(1,6),
"Salaried","Self-Employed","Business","Freelancer","Student","Contract-Based")</f>
        <v>Freelancer</v>
      </c>
      <c r="J395" t="str">
        <f t="shared" ref="J395:J458" ca="1" si="66">CHOOSE(RANDBETWEEN(1,5),
"Home","Car","Education","Business","Personal")</f>
        <v>Education</v>
      </c>
      <c r="K395" t="str">
        <f t="shared" ref="K395:K458" ca="1" si="67">IF(RANDBETWEEN(1,100)&lt;=70,"Approved","Rejected")</f>
        <v>Rejected</v>
      </c>
      <c r="L395">
        <f t="shared" si="54"/>
        <v>971</v>
      </c>
      <c r="M395">
        <f t="shared" ca="1" si="55"/>
        <v>612</v>
      </c>
      <c r="N395">
        <f t="shared" ca="1" si="56"/>
        <v>292</v>
      </c>
      <c r="O395" s="2">
        <f t="shared" ca="1" si="57"/>
        <v>0.63027806385169927</v>
      </c>
    </row>
    <row r="396" spans="1:15" x14ac:dyDescent="0.3">
      <c r="A396" s="3" t="s">
        <v>601</v>
      </c>
      <c r="B396" t="str">
        <f t="shared" ca="1" si="58"/>
        <v>Mr. Raj Kumar</v>
      </c>
      <c r="C396">
        <f t="shared" ca="1" si="59"/>
        <v>34</v>
      </c>
      <c r="D396" t="str">
        <f t="shared" si="60"/>
        <v>Female</v>
      </c>
      <c r="E396">
        <f t="shared" ca="1" si="61"/>
        <v>1418000</v>
      </c>
      <c r="F396">
        <f t="shared" ca="1" si="62"/>
        <v>761451</v>
      </c>
      <c r="G396">
        <f t="shared" ca="1" si="63"/>
        <v>24</v>
      </c>
      <c r="H396">
        <f t="shared" ca="1" si="64"/>
        <v>519</v>
      </c>
      <c r="I396" t="str">
        <f t="shared" ca="1" si="65"/>
        <v>Student</v>
      </c>
      <c r="J396" t="str">
        <f t="shared" ca="1" si="66"/>
        <v>Car</v>
      </c>
      <c r="K396" t="str">
        <f t="shared" ca="1" si="67"/>
        <v>Rejected</v>
      </c>
      <c r="L396">
        <f t="shared" si="54"/>
        <v>971</v>
      </c>
      <c r="M396">
        <f t="shared" ca="1" si="55"/>
        <v>612</v>
      </c>
      <c r="N396">
        <f t="shared" ca="1" si="56"/>
        <v>292</v>
      </c>
      <c r="O396" s="2">
        <f t="shared" ca="1" si="57"/>
        <v>0.63027806385169927</v>
      </c>
    </row>
    <row r="397" spans="1:15" x14ac:dyDescent="0.3">
      <c r="A397" s="3" t="s">
        <v>602</v>
      </c>
      <c r="B397" t="str">
        <f t="shared" ca="1" si="58"/>
        <v>Ms. Neha Verma</v>
      </c>
      <c r="C397">
        <f t="shared" ca="1" si="59"/>
        <v>60</v>
      </c>
      <c r="D397" t="str">
        <f t="shared" si="60"/>
        <v>Male</v>
      </c>
      <c r="E397">
        <f t="shared" ca="1" si="61"/>
        <v>854619</v>
      </c>
      <c r="F397">
        <f t="shared" ca="1" si="62"/>
        <v>2078815</v>
      </c>
      <c r="G397">
        <f t="shared" ca="1" si="63"/>
        <v>12</v>
      </c>
      <c r="H397">
        <f t="shared" ca="1" si="64"/>
        <v>319</v>
      </c>
      <c r="I397" t="str">
        <f t="shared" ca="1" si="65"/>
        <v>Self-Employed</v>
      </c>
      <c r="J397" t="str">
        <f t="shared" ca="1" si="66"/>
        <v>Personal</v>
      </c>
      <c r="K397" t="str">
        <f t="shared" ca="1" si="67"/>
        <v>Approved</v>
      </c>
      <c r="L397">
        <f t="shared" si="54"/>
        <v>971</v>
      </c>
      <c r="M397">
        <f t="shared" ca="1" si="55"/>
        <v>612</v>
      </c>
      <c r="N397">
        <f t="shared" ca="1" si="56"/>
        <v>292</v>
      </c>
      <c r="O397" s="2">
        <f t="shared" ca="1" si="57"/>
        <v>0.63027806385169927</v>
      </c>
    </row>
    <row r="398" spans="1:15" x14ac:dyDescent="0.3">
      <c r="A398" s="3" t="s">
        <v>603</v>
      </c>
      <c r="B398" t="str">
        <f t="shared" ca="1" si="58"/>
        <v>Ms. Kajal Yadav</v>
      </c>
      <c r="C398">
        <f t="shared" ca="1" si="59"/>
        <v>65</v>
      </c>
      <c r="D398" t="str">
        <f t="shared" si="60"/>
        <v>Male</v>
      </c>
      <c r="E398">
        <f t="shared" ca="1" si="61"/>
        <v>439570</v>
      </c>
      <c r="F398">
        <f t="shared" ca="1" si="62"/>
        <v>1018789</v>
      </c>
      <c r="G398">
        <f t="shared" ca="1" si="63"/>
        <v>24</v>
      </c>
      <c r="H398">
        <f t="shared" ca="1" si="64"/>
        <v>750</v>
      </c>
      <c r="I398" t="str">
        <f t="shared" ca="1" si="65"/>
        <v>Salaried</v>
      </c>
      <c r="J398" t="str">
        <f t="shared" ca="1" si="66"/>
        <v>Personal</v>
      </c>
      <c r="K398" t="str">
        <f t="shared" ca="1" si="67"/>
        <v>Approved</v>
      </c>
      <c r="L398">
        <f t="shared" si="54"/>
        <v>971</v>
      </c>
      <c r="M398">
        <f t="shared" ca="1" si="55"/>
        <v>612</v>
      </c>
      <c r="N398">
        <f t="shared" ca="1" si="56"/>
        <v>292</v>
      </c>
      <c r="O398" s="2">
        <f t="shared" ca="1" si="57"/>
        <v>0.63027806385169927</v>
      </c>
    </row>
    <row r="399" spans="1:15" x14ac:dyDescent="0.3">
      <c r="A399" s="3" t="s">
        <v>604</v>
      </c>
      <c r="B399" t="str">
        <f t="shared" ca="1" si="58"/>
        <v>Ms. Kajal Yadav</v>
      </c>
      <c r="C399">
        <f t="shared" ca="1" si="59"/>
        <v>35</v>
      </c>
      <c r="D399" t="str">
        <f t="shared" si="60"/>
        <v>Male</v>
      </c>
      <c r="E399">
        <f t="shared" ca="1" si="61"/>
        <v>564436</v>
      </c>
      <c r="F399">
        <f t="shared" ca="1" si="62"/>
        <v>303039</v>
      </c>
      <c r="G399">
        <f t="shared" ca="1" si="63"/>
        <v>48</v>
      </c>
      <c r="H399">
        <f t="shared" ca="1" si="64"/>
        <v>531</v>
      </c>
      <c r="I399" t="str">
        <f t="shared" ca="1" si="65"/>
        <v>Contract-Based</v>
      </c>
      <c r="J399" t="str">
        <f t="shared" ca="1" si="66"/>
        <v>Education</v>
      </c>
      <c r="K399" t="str">
        <f t="shared" ca="1" si="67"/>
        <v>Rejected</v>
      </c>
      <c r="L399">
        <f t="shared" si="54"/>
        <v>971</v>
      </c>
      <c r="M399">
        <f t="shared" ca="1" si="55"/>
        <v>612</v>
      </c>
      <c r="N399">
        <f t="shared" ca="1" si="56"/>
        <v>292</v>
      </c>
      <c r="O399" s="2">
        <f t="shared" ca="1" si="57"/>
        <v>0.63027806385169927</v>
      </c>
    </row>
    <row r="400" spans="1:15" x14ac:dyDescent="0.3">
      <c r="A400" s="3" t="s">
        <v>605</v>
      </c>
      <c r="B400" t="str">
        <f t="shared" ca="1" si="58"/>
        <v>Mr. Rohan Gupta</v>
      </c>
      <c r="C400">
        <f t="shared" ca="1" si="59"/>
        <v>62</v>
      </c>
      <c r="D400" t="str">
        <f t="shared" si="60"/>
        <v>Male</v>
      </c>
      <c r="E400">
        <f t="shared" ca="1" si="61"/>
        <v>1578175</v>
      </c>
      <c r="F400">
        <f t="shared" ca="1" si="62"/>
        <v>1805821</v>
      </c>
      <c r="G400">
        <f t="shared" ca="1" si="63"/>
        <v>36</v>
      </c>
      <c r="H400">
        <f t="shared" ca="1" si="64"/>
        <v>583</v>
      </c>
      <c r="I400" t="str">
        <f t="shared" ca="1" si="65"/>
        <v>Salaried</v>
      </c>
      <c r="J400" t="str">
        <f t="shared" ca="1" si="66"/>
        <v>Home</v>
      </c>
      <c r="K400" t="str">
        <f t="shared" ca="1" si="67"/>
        <v>Approved</v>
      </c>
      <c r="L400">
        <f t="shared" si="54"/>
        <v>971</v>
      </c>
      <c r="M400">
        <f t="shared" ca="1" si="55"/>
        <v>612</v>
      </c>
      <c r="N400">
        <f t="shared" ca="1" si="56"/>
        <v>292</v>
      </c>
      <c r="O400" s="2">
        <f t="shared" ca="1" si="57"/>
        <v>0.63027806385169927</v>
      </c>
    </row>
    <row r="401" spans="1:15" x14ac:dyDescent="0.3">
      <c r="A401" s="3" t="s">
        <v>606</v>
      </c>
      <c r="B401" t="str">
        <f t="shared" ca="1" si="58"/>
        <v>Ms. Neha Verma</v>
      </c>
      <c r="C401">
        <f t="shared" ca="1" si="59"/>
        <v>56</v>
      </c>
      <c r="D401" t="str">
        <f t="shared" si="60"/>
        <v>Female</v>
      </c>
      <c r="E401">
        <f t="shared" ca="1" si="61"/>
        <v>1486734</v>
      </c>
      <c r="F401">
        <f t="shared" ca="1" si="62"/>
        <v>1414743</v>
      </c>
      <c r="G401">
        <f t="shared" ca="1" si="63"/>
        <v>60</v>
      </c>
      <c r="H401">
        <f t="shared" ca="1" si="64"/>
        <v>852</v>
      </c>
      <c r="I401" t="str">
        <f t="shared" ca="1" si="65"/>
        <v>Contract-Based</v>
      </c>
      <c r="J401" t="str">
        <f t="shared" ca="1" si="66"/>
        <v>Education</v>
      </c>
      <c r="K401" t="str">
        <f t="shared" ca="1" si="67"/>
        <v>Approved</v>
      </c>
      <c r="L401">
        <f t="shared" si="54"/>
        <v>971</v>
      </c>
      <c r="M401">
        <f t="shared" ca="1" si="55"/>
        <v>612</v>
      </c>
      <c r="N401">
        <f t="shared" ca="1" si="56"/>
        <v>292</v>
      </c>
      <c r="O401" s="2">
        <f t="shared" ca="1" si="57"/>
        <v>0.63027806385169927</v>
      </c>
    </row>
    <row r="402" spans="1:15" x14ac:dyDescent="0.3">
      <c r="A402" s="3" t="s">
        <v>607</v>
      </c>
      <c r="B402" t="str">
        <f t="shared" ca="1" si="58"/>
        <v>Ms. Anjali Singh</v>
      </c>
      <c r="C402">
        <f t="shared" ca="1" si="59"/>
        <v>57</v>
      </c>
      <c r="D402" t="str">
        <f t="shared" ca="1" si="60"/>
        <v>Male</v>
      </c>
      <c r="E402">
        <f t="shared" ca="1" si="61"/>
        <v>1587953</v>
      </c>
      <c r="F402">
        <f t="shared" ca="1" si="62"/>
        <v>305157</v>
      </c>
      <c r="G402">
        <f t="shared" ca="1" si="63"/>
        <v>12</v>
      </c>
      <c r="H402">
        <f t="shared" ca="1" si="64"/>
        <v>531</v>
      </c>
      <c r="I402" t="str">
        <f t="shared" ca="1" si="65"/>
        <v>Self-Employed</v>
      </c>
      <c r="J402" t="str">
        <f t="shared" ca="1" si="66"/>
        <v>Home</v>
      </c>
      <c r="K402" t="str">
        <f t="shared" ca="1" si="67"/>
        <v>Approved</v>
      </c>
      <c r="L402">
        <f t="shared" si="54"/>
        <v>971</v>
      </c>
      <c r="M402">
        <f t="shared" ca="1" si="55"/>
        <v>612</v>
      </c>
      <c r="N402">
        <f t="shared" ca="1" si="56"/>
        <v>292</v>
      </c>
      <c r="O402" s="2">
        <f t="shared" ca="1" si="57"/>
        <v>0.63027806385169927</v>
      </c>
    </row>
    <row r="403" spans="1:15" x14ac:dyDescent="0.3">
      <c r="A403" s="3" t="s">
        <v>608</v>
      </c>
      <c r="B403" t="str">
        <f t="shared" ca="1" si="58"/>
        <v>Ms. Anjali Singh</v>
      </c>
      <c r="C403">
        <f t="shared" ca="1" si="59"/>
        <v>28</v>
      </c>
      <c r="D403" t="str">
        <f t="shared" ca="1" si="60"/>
        <v>Male</v>
      </c>
      <c r="E403">
        <f t="shared" ca="1" si="61"/>
        <v>395085</v>
      </c>
      <c r="F403">
        <f t="shared" ca="1" si="62"/>
        <v>1996084</v>
      </c>
      <c r="G403">
        <f t="shared" ca="1" si="63"/>
        <v>24</v>
      </c>
      <c r="H403">
        <f t="shared" ca="1" si="64"/>
        <v>723</v>
      </c>
      <c r="I403" t="str">
        <f t="shared" ca="1" si="65"/>
        <v>Freelancer</v>
      </c>
      <c r="J403" t="str">
        <f t="shared" ca="1" si="66"/>
        <v>Home</v>
      </c>
      <c r="K403" t="str">
        <f t="shared" ca="1" si="67"/>
        <v>Approved</v>
      </c>
      <c r="L403">
        <f t="shared" si="54"/>
        <v>971</v>
      </c>
      <c r="M403">
        <f t="shared" ca="1" si="55"/>
        <v>612</v>
      </c>
      <c r="N403">
        <f t="shared" ca="1" si="56"/>
        <v>292</v>
      </c>
      <c r="O403" s="2">
        <f t="shared" ca="1" si="57"/>
        <v>0.63027806385169927</v>
      </c>
    </row>
    <row r="404" spans="1:15" x14ac:dyDescent="0.3">
      <c r="A404" s="3" t="s">
        <v>609</v>
      </c>
      <c r="B404" t="str">
        <f t="shared" ca="1" si="58"/>
        <v>Ms. Pooja Patel</v>
      </c>
      <c r="C404">
        <f t="shared" ca="1" si="59"/>
        <v>28</v>
      </c>
      <c r="D404" t="str">
        <f t="shared" ca="1" si="60"/>
        <v>Male</v>
      </c>
      <c r="E404">
        <f t="shared" ca="1" si="61"/>
        <v>448902</v>
      </c>
      <c r="F404">
        <f t="shared" ca="1" si="62"/>
        <v>507951</v>
      </c>
      <c r="G404">
        <f t="shared" ca="1" si="63"/>
        <v>84</v>
      </c>
      <c r="H404">
        <f t="shared" ca="1" si="64"/>
        <v>808</v>
      </c>
      <c r="I404" t="str">
        <f t="shared" ca="1" si="65"/>
        <v>Salaried</v>
      </c>
      <c r="J404" t="str">
        <f t="shared" ca="1" si="66"/>
        <v>Business</v>
      </c>
      <c r="K404" t="str">
        <f t="shared" ca="1" si="67"/>
        <v>Approved</v>
      </c>
      <c r="L404">
        <f t="shared" si="54"/>
        <v>971</v>
      </c>
      <c r="M404">
        <f t="shared" ca="1" si="55"/>
        <v>612</v>
      </c>
      <c r="N404">
        <f t="shared" ca="1" si="56"/>
        <v>292</v>
      </c>
      <c r="O404" s="2">
        <f t="shared" ca="1" si="57"/>
        <v>0.63027806385169927</v>
      </c>
    </row>
    <row r="405" spans="1:15" x14ac:dyDescent="0.3">
      <c r="A405" s="3" t="s">
        <v>610</v>
      </c>
      <c r="B405" t="str">
        <f t="shared" ca="1" si="58"/>
        <v>Mr. Raj Kumar</v>
      </c>
      <c r="C405">
        <f t="shared" ca="1" si="59"/>
        <v>26</v>
      </c>
      <c r="D405" t="str">
        <f t="shared" ca="1" si="60"/>
        <v>Male</v>
      </c>
      <c r="E405">
        <f t="shared" ca="1" si="61"/>
        <v>765047</v>
      </c>
      <c r="F405">
        <f t="shared" ca="1" si="62"/>
        <v>2466812</v>
      </c>
      <c r="G405">
        <f t="shared" ca="1" si="63"/>
        <v>60</v>
      </c>
      <c r="H405">
        <f t="shared" ca="1" si="64"/>
        <v>451</v>
      </c>
      <c r="I405" t="str">
        <f t="shared" ca="1" si="65"/>
        <v>Contract-Based</v>
      </c>
      <c r="J405" t="str">
        <f t="shared" ca="1" si="66"/>
        <v>Home</v>
      </c>
      <c r="K405" t="str">
        <f t="shared" ca="1" si="67"/>
        <v>Rejected</v>
      </c>
      <c r="L405">
        <f t="shared" si="54"/>
        <v>971</v>
      </c>
      <c r="M405">
        <f t="shared" ca="1" si="55"/>
        <v>612</v>
      </c>
      <c r="N405">
        <f t="shared" ca="1" si="56"/>
        <v>292</v>
      </c>
      <c r="O405" s="2">
        <f t="shared" ca="1" si="57"/>
        <v>0.63027806385169927</v>
      </c>
    </row>
    <row r="406" spans="1:15" x14ac:dyDescent="0.3">
      <c r="A406" s="3" t="s">
        <v>611</v>
      </c>
      <c r="B406" t="str">
        <f t="shared" ca="1" si="58"/>
        <v>Mr. Amit Das</v>
      </c>
      <c r="C406">
        <f t="shared" ca="1" si="59"/>
        <v>53</v>
      </c>
      <c r="D406" t="str">
        <f t="shared" ca="1" si="60"/>
        <v>Male</v>
      </c>
      <c r="E406">
        <f t="shared" ca="1" si="61"/>
        <v>283297</v>
      </c>
      <c r="F406">
        <f t="shared" ca="1" si="62"/>
        <v>2115452</v>
      </c>
      <c r="G406">
        <f t="shared" ca="1" si="63"/>
        <v>72</v>
      </c>
      <c r="H406">
        <f t="shared" ca="1" si="64"/>
        <v>676</v>
      </c>
      <c r="I406" t="str">
        <f t="shared" ca="1" si="65"/>
        <v>Salaried</v>
      </c>
      <c r="J406" t="str">
        <f t="shared" ca="1" si="66"/>
        <v>Home</v>
      </c>
      <c r="K406" t="str">
        <f t="shared" ca="1" si="67"/>
        <v>Approved</v>
      </c>
      <c r="L406">
        <f t="shared" si="54"/>
        <v>971</v>
      </c>
      <c r="M406">
        <f t="shared" ca="1" si="55"/>
        <v>612</v>
      </c>
      <c r="N406">
        <f t="shared" ca="1" si="56"/>
        <v>292</v>
      </c>
      <c r="O406" s="2">
        <f t="shared" ca="1" si="57"/>
        <v>0.63027806385169927</v>
      </c>
    </row>
    <row r="407" spans="1:15" x14ac:dyDescent="0.3">
      <c r="A407" s="3" t="s">
        <v>612</v>
      </c>
      <c r="B407" t="str">
        <f t="shared" ca="1" si="58"/>
        <v>Mr. Raj Kumar</v>
      </c>
      <c r="C407">
        <f t="shared" ca="1" si="59"/>
        <v>58</v>
      </c>
      <c r="D407" t="str">
        <f t="shared" ca="1" si="60"/>
        <v>Male</v>
      </c>
      <c r="E407">
        <f t="shared" ca="1" si="61"/>
        <v>1272771</v>
      </c>
      <c r="F407">
        <f t="shared" ca="1" si="62"/>
        <v>1169547</v>
      </c>
      <c r="G407">
        <f t="shared" ca="1" si="63"/>
        <v>24</v>
      </c>
      <c r="H407">
        <f t="shared" ca="1" si="64"/>
        <v>416</v>
      </c>
      <c r="I407" t="str">
        <f t="shared" ca="1" si="65"/>
        <v>Freelancer</v>
      </c>
      <c r="J407" t="str">
        <f t="shared" ca="1" si="66"/>
        <v>Home</v>
      </c>
      <c r="K407" t="str">
        <f t="shared" ca="1" si="67"/>
        <v>Approved</v>
      </c>
      <c r="L407">
        <f t="shared" si="54"/>
        <v>971</v>
      </c>
      <c r="M407">
        <f t="shared" ca="1" si="55"/>
        <v>612</v>
      </c>
      <c r="N407">
        <f t="shared" ca="1" si="56"/>
        <v>292</v>
      </c>
      <c r="O407" s="2">
        <f t="shared" ca="1" si="57"/>
        <v>0.63027806385169927</v>
      </c>
    </row>
    <row r="408" spans="1:15" x14ac:dyDescent="0.3">
      <c r="A408" s="3" t="s">
        <v>613</v>
      </c>
      <c r="B408" t="str">
        <f t="shared" ca="1" si="58"/>
        <v>Mr. Arun Kumar</v>
      </c>
      <c r="C408">
        <f t="shared" ca="1" si="59"/>
        <v>58</v>
      </c>
      <c r="D408" t="str">
        <f t="shared" ca="1" si="60"/>
        <v>Male</v>
      </c>
      <c r="E408">
        <f t="shared" ca="1" si="61"/>
        <v>1562134</v>
      </c>
      <c r="F408">
        <f t="shared" ca="1" si="62"/>
        <v>627710</v>
      </c>
      <c r="G408">
        <f t="shared" ca="1" si="63"/>
        <v>60</v>
      </c>
      <c r="H408">
        <f t="shared" ca="1" si="64"/>
        <v>883</v>
      </c>
      <c r="I408" t="str">
        <f t="shared" ca="1" si="65"/>
        <v>Self-Employed</v>
      </c>
      <c r="J408" t="str">
        <f t="shared" ca="1" si="66"/>
        <v>Business</v>
      </c>
      <c r="K408" t="str">
        <f t="shared" ca="1" si="67"/>
        <v>Approved</v>
      </c>
      <c r="L408">
        <f t="shared" si="54"/>
        <v>971</v>
      </c>
      <c r="M408">
        <f t="shared" ca="1" si="55"/>
        <v>612</v>
      </c>
      <c r="N408">
        <f t="shared" ca="1" si="56"/>
        <v>292</v>
      </c>
      <c r="O408" s="2">
        <f t="shared" ca="1" si="57"/>
        <v>0.63027806385169927</v>
      </c>
    </row>
    <row r="409" spans="1:15" x14ac:dyDescent="0.3">
      <c r="A409" s="3" t="s">
        <v>614</v>
      </c>
      <c r="B409" t="str">
        <f t="shared" ca="1" si="58"/>
        <v>Ms. Priya Sharma</v>
      </c>
      <c r="C409">
        <f t="shared" ca="1" si="59"/>
        <v>35</v>
      </c>
      <c r="D409" t="str">
        <f t="shared" ca="1" si="60"/>
        <v>Female</v>
      </c>
      <c r="E409">
        <f t="shared" ca="1" si="61"/>
        <v>438954</v>
      </c>
      <c r="F409">
        <f t="shared" ca="1" si="62"/>
        <v>2438802</v>
      </c>
      <c r="G409">
        <f t="shared" ca="1" si="63"/>
        <v>72</v>
      </c>
      <c r="H409">
        <f t="shared" ca="1" si="64"/>
        <v>739</v>
      </c>
      <c r="I409" t="str">
        <f t="shared" ca="1" si="65"/>
        <v>Freelancer</v>
      </c>
      <c r="J409" t="str">
        <f t="shared" ca="1" si="66"/>
        <v>Home</v>
      </c>
      <c r="K409" t="str">
        <f t="shared" ca="1" si="67"/>
        <v>Approved</v>
      </c>
      <c r="L409">
        <f t="shared" si="54"/>
        <v>971</v>
      </c>
      <c r="M409">
        <f t="shared" ca="1" si="55"/>
        <v>612</v>
      </c>
      <c r="N409">
        <f t="shared" ca="1" si="56"/>
        <v>292</v>
      </c>
      <c r="O409" s="2">
        <f t="shared" ca="1" si="57"/>
        <v>0.63027806385169927</v>
      </c>
    </row>
    <row r="410" spans="1:15" x14ac:dyDescent="0.3">
      <c r="A410" s="3" t="s">
        <v>615</v>
      </c>
      <c r="B410" t="str">
        <f t="shared" ca="1" si="58"/>
        <v>Ms. Kajal Yadav</v>
      </c>
      <c r="C410">
        <f t="shared" ca="1" si="59"/>
        <v>53</v>
      </c>
      <c r="D410" t="str">
        <f t="shared" ca="1" si="60"/>
        <v>Male</v>
      </c>
      <c r="E410">
        <f t="shared" ca="1" si="61"/>
        <v>1458199</v>
      </c>
      <c r="F410">
        <f t="shared" ca="1" si="62"/>
        <v>1756260</v>
      </c>
      <c r="G410">
        <f t="shared" ca="1" si="63"/>
        <v>36</v>
      </c>
      <c r="H410">
        <f t="shared" ca="1" si="64"/>
        <v>525</v>
      </c>
      <c r="I410" t="str">
        <f t="shared" ca="1" si="65"/>
        <v>Contract-Based</v>
      </c>
      <c r="J410" t="str">
        <f t="shared" ca="1" si="66"/>
        <v>Education</v>
      </c>
      <c r="K410" t="str">
        <f t="shared" ca="1" si="67"/>
        <v>Approved</v>
      </c>
      <c r="L410">
        <f t="shared" si="54"/>
        <v>971</v>
      </c>
      <c r="M410">
        <f t="shared" ca="1" si="55"/>
        <v>612</v>
      </c>
      <c r="N410">
        <f t="shared" ca="1" si="56"/>
        <v>292</v>
      </c>
      <c r="O410" s="2">
        <f t="shared" ca="1" si="57"/>
        <v>0.63027806385169927</v>
      </c>
    </row>
    <row r="411" spans="1:15" x14ac:dyDescent="0.3">
      <c r="A411" s="3" t="s">
        <v>616</v>
      </c>
      <c r="B411" t="str">
        <f t="shared" ca="1" si="58"/>
        <v>Ms. Pooja Patel</v>
      </c>
      <c r="C411">
        <f t="shared" ca="1" si="59"/>
        <v>24</v>
      </c>
      <c r="D411" t="str">
        <f t="shared" ca="1" si="60"/>
        <v>Male</v>
      </c>
      <c r="E411">
        <f t="shared" ca="1" si="61"/>
        <v>247736</v>
      </c>
      <c r="F411">
        <f t="shared" ca="1" si="62"/>
        <v>1420048</v>
      </c>
      <c r="G411">
        <f t="shared" ca="1" si="63"/>
        <v>72</v>
      </c>
      <c r="H411">
        <f t="shared" ca="1" si="64"/>
        <v>895</v>
      </c>
      <c r="I411" t="str">
        <f t="shared" ca="1" si="65"/>
        <v>Salaried</v>
      </c>
      <c r="J411" t="str">
        <f t="shared" ca="1" si="66"/>
        <v>Car</v>
      </c>
      <c r="K411" t="str">
        <f t="shared" ca="1" si="67"/>
        <v>Rejected</v>
      </c>
      <c r="L411">
        <f t="shared" si="54"/>
        <v>971</v>
      </c>
      <c r="M411">
        <f t="shared" ca="1" si="55"/>
        <v>612</v>
      </c>
      <c r="N411">
        <f t="shared" ca="1" si="56"/>
        <v>292</v>
      </c>
      <c r="O411" s="2">
        <f t="shared" ca="1" si="57"/>
        <v>0.63027806385169927</v>
      </c>
    </row>
    <row r="412" spans="1:15" x14ac:dyDescent="0.3">
      <c r="A412" s="3" t="s">
        <v>617</v>
      </c>
      <c r="B412" t="str">
        <f t="shared" ca="1" si="58"/>
        <v>Ms. Pooja Patel</v>
      </c>
      <c r="C412">
        <f t="shared" ca="1" si="59"/>
        <v>37</v>
      </c>
      <c r="D412" t="str">
        <f t="shared" ca="1" si="60"/>
        <v>Male</v>
      </c>
      <c r="E412">
        <f t="shared" ca="1" si="61"/>
        <v>835260</v>
      </c>
      <c r="F412">
        <f t="shared" ca="1" si="62"/>
        <v>1917935</v>
      </c>
      <c r="G412">
        <f t="shared" ca="1" si="63"/>
        <v>48</v>
      </c>
      <c r="H412">
        <f t="shared" ca="1" si="64"/>
        <v>641</v>
      </c>
      <c r="I412" t="str">
        <f t="shared" ca="1" si="65"/>
        <v>Salaried</v>
      </c>
      <c r="J412" t="str">
        <f t="shared" ca="1" si="66"/>
        <v>Business</v>
      </c>
      <c r="K412" t="str">
        <f t="shared" ca="1" si="67"/>
        <v>Approved</v>
      </c>
      <c r="L412">
        <f t="shared" si="54"/>
        <v>971</v>
      </c>
      <c r="M412">
        <f t="shared" ca="1" si="55"/>
        <v>612</v>
      </c>
      <c r="N412">
        <f t="shared" ca="1" si="56"/>
        <v>292</v>
      </c>
      <c r="O412" s="2">
        <f t="shared" ca="1" si="57"/>
        <v>0.63027806385169927</v>
      </c>
    </row>
    <row r="413" spans="1:15" x14ac:dyDescent="0.3">
      <c r="A413" s="3" t="s">
        <v>618</v>
      </c>
      <c r="B413" t="str">
        <f t="shared" ca="1" si="58"/>
        <v>Mr. Raj Kumar</v>
      </c>
      <c r="C413">
        <f t="shared" ca="1" si="59"/>
        <v>42</v>
      </c>
      <c r="D413" t="str">
        <f t="shared" ca="1" si="60"/>
        <v>Male</v>
      </c>
      <c r="E413">
        <f t="shared" ca="1" si="61"/>
        <v>430269</v>
      </c>
      <c r="F413">
        <f t="shared" ca="1" si="62"/>
        <v>2279775</v>
      </c>
      <c r="G413">
        <f t="shared" ca="1" si="63"/>
        <v>72</v>
      </c>
      <c r="H413">
        <f t="shared" ca="1" si="64"/>
        <v>318</v>
      </c>
      <c r="I413" t="str">
        <f t="shared" ca="1" si="65"/>
        <v>Freelancer</v>
      </c>
      <c r="J413" t="str">
        <f t="shared" ca="1" si="66"/>
        <v>Home</v>
      </c>
      <c r="K413" t="str">
        <f t="shared" ca="1" si="67"/>
        <v>Rejected</v>
      </c>
      <c r="L413">
        <f t="shared" si="54"/>
        <v>971</v>
      </c>
      <c r="M413">
        <f t="shared" ca="1" si="55"/>
        <v>612</v>
      </c>
      <c r="N413">
        <f t="shared" ca="1" si="56"/>
        <v>292</v>
      </c>
      <c r="O413" s="2">
        <f t="shared" ca="1" si="57"/>
        <v>0.63027806385169927</v>
      </c>
    </row>
    <row r="414" spans="1:15" x14ac:dyDescent="0.3">
      <c r="A414" s="3" t="s">
        <v>619</v>
      </c>
      <c r="B414" t="str">
        <f t="shared" ca="1" si="58"/>
        <v>Mr. Suresh Rao</v>
      </c>
      <c r="C414">
        <f t="shared" ca="1" si="59"/>
        <v>21</v>
      </c>
      <c r="D414" t="str">
        <f t="shared" ca="1" si="60"/>
        <v>Male</v>
      </c>
      <c r="E414">
        <f t="shared" ca="1" si="61"/>
        <v>1709348</v>
      </c>
      <c r="F414">
        <f t="shared" ca="1" si="62"/>
        <v>1147480</v>
      </c>
      <c r="G414">
        <f t="shared" ca="1" si="63"/>
        <v>60</v>
      </c>
      <c r="H414">
        <f t="shared" ca="1" si="64"/>
        <v>721</v>
      </c>
      <c r="I414" t="str">
        <f t="shared" ca="1" si="65"/>
        <v>Salaried</v>
      </c>
      <c r="J414" t="str">
        <f t="shared" ca="1" si="66"/>
        <v>Home</v>
      </c>
      <c r="K414" t="str">
        <f t="shared" ca="1" si="67"/>
        <v>Rejected</v>
      </c>
      <c r="L414">
        <f t="shared" si="54"/>
        <v>971</v>
      </c>
      <c r="M414">
        <f t="shared" ca="1" si="55"/>
        <v>612</v>
      </c>
      <c r="N414">
        <f t="shared" ca="1" si="56"/>
        <v>292</v>
      </c>
      <c r="O414" s="2">
        <f t="shared" ca="1" si="57"/>
        <v>0.63027806385169927</v>
      </c>
    </row>
    <row r="415" spans="1:15" x14ac:dyDescent="0.3">
      <c r="A415" s="3" t="s">
        <v>620</v>
      </c>
      <c r="B415" t="str">
        <f t="shared" ca="1" si="58"/>
        <v>Ms. Kajal Yadav</v>
      </c>
      <c r="C415">
        <f t="shared" ca="1" si="59"/>
        <v>40</v>
      </c>
      <c r="D415" t="str">
        <f t="shared" ca="1" si="60"/>
        <v>Female</v>
      </c>
      <c r="E415">
        <f t="shared" ca="1" si="61"/>
        <v>1722896</v>
      </c>
      <c r="F415">
        <f t="shared" ca="1" si="62"/>
        <v>1862623</v>
      </c>
      <c r="G415">
        <f t="shared" ca="1" si="63"/>
        <v>12</v>
      </c>
      <c r="H415">
        <f t="shared" ca="1" si="64"/>
        <v>735</v>
      </c>
      <c r="I415" t="str">
        <f t="shared" ca="1" si="65"/>
        <v>Self-Employed</v>
      </c>
      <c r="J415" t="str">
        <f t="shared" ca="1" si="66"/>
        <v>Business</v>
      </c>
      <c r="K415" t="str">
        <f t="shared" ca="1" si="67"/>
        <v>Approved</v>
      </c>
      <c r="L415">
        <f t="shared" si="54"/>
        <v>971</v>
      </c>
      <c r="M415">
        <f t="shared" ca="1" si="55"/>
        <v>612</v>
      </c>
      <c r="N415">
        <f t="shared" ca="1" si="56"/>
        <v>292</v>
      </c>
      <c r="O415" s="2">
        <f t="shared" ca="1" si="57"/>
        <v>0.63027806385169927</v>
      </c>
    </row>
    <row r="416" spans="1:15" x14ac:dyDescent="0.3">
      <c r="A416" s="3" t="s">
        <v>621</v>
      </c>
      <c r="B416" t="str">
        <f t="shared" ca="1" si="58"/>
        <v>Ms. Anjali Singh</v>
      </c>
      <c r="C416">
        <f t="shared" ca="1" si="59"/>
        <v>32</v>
      </c>
      <c r="D416" t="str">
        <f t="shared" ca="1" si="60"/>
        <v>Male</v>
      </c>
      <c r="E416">
        <f t="shared" ca="1" si="61"/>
        <v>824022</v>
      </c>
      <c r="F416">
        <f t="shared" ca="1" si="62"/>
        <v>2411812</v>
      </c>
      <c r="G416">
        <f t="shared" ca="1" si="63"/>
        <v>12</v>
      </c>
      <c r="H416">
        <f t="shared" ca="1" si="64"/>
        <v>588</v>
      </c>
      <c r="I416" t="str">
        <f t="shared" ca="1" si="65"/>
        <v>Salaried</v>
      </c>
      <c r="J416" t="str">
        <f t="shared" ca="1" si="66"/>
        <v>Home</v>
      </c>
      <c r="K416" t="str">
        <f t="shared" ca="1" si="67"/>
        <v>Rejected</v>
      </c>
      <c r="L416">
        <f t="shared" si="54"/>
        <v>971</v>
      </c>
      <c r="M416">
        <f t="shared" ca="1" si="55"/>
        <v>612</v>
      </c>
      <c r="N416">
        <f t="shared" ca="1" si="56"/>
        <v>292</v>
      </c>
      <c r="O416" s="2">
        <f t="shared" ca="1" si="57"/>
        <v>0.63027806385169927</v>
      </c>
    </row>
    <row r="417" spans="1:15" x14ac:dyDescent="0.3">
      <c r="A417" s="3" t="s">
        <v>622</v>
      </c>
      <c r="B417" t="str">
        <f t="shared" ca="1" si="58"/>
        <v>Ms. Pooja Patel</v>
      </c>
      <c r="C417">
        <f t="shared" ca="1" si="59"/>
        <v>28</v>
      </c>
      <c r="D417" t="str">
        <f t="shared" ca="1" si="60"/>
        <v>Male</v>
      </c>
      <c r="E417">
        <f t="shared" ca="1" si="61"/>
        <v>1943439</v>
      </c>
      <c r="F417">
        <f t="shared" ca="1" si="62"/>
        <v>1899085</v>
      </c>
      <c r="G417">
        <f t="shared" ca="1" si="63"/>
        <v>48</v>
      </c>
      <c r="H417">
        <f t="shared" ca="1" si="64"/>
        <v>578</v>
      </c>
      <c r="I417" t="str">
        <f t="shared" ca="1" si="65"/>
        <v>Self-Employed</v>
      </c>
      <c r="J417" t="str">
        <f t="shared" ca="1" si="66"/>
        <v>Car</v>
      </c>
      <c r="K417" t="str">
        <f t="shared" ca="1" si="67"/>
        <v>Approved</v>
      </c>
      <c r="L417">
        <f t="shared" si="54"/>
        <v>971</v>
      </c>
      <c r="M417">
        <f t="shared" ca="1" si="55"/>
        <v>612</v>
      </c>
      <c r="N417">
        <f t="shared" ca="1" si="56"/>
        <v>292</v>
      </c>
      <c r="O417" s="2">
        <f t="shared" ca="1" si="57"/>
        <v>0.63027806385169927</v>
      </c>
    </row>
    <row r="418" spans="1:15" x14ac:dyDescent="0.3">
      <c r="A418" s="3" t="s">
        <v>623</v>
      </c>
      <c r="B418" t="str">
        <f t="shared" ca="1" si="58"/>
        <v>Mr. Suresh Rao</v>
      </c>
      <c r="C418">
        <f t="shared" ca="1" si="59"/>
        <v>62</v>
      </c>
      <c r="D418" t="str">
        <f t="shared" ca="1" si="60"/>
        <v>Male</v>
      </c>
      <c r="E418">
        <f t="shared" ca="1" si="61"/>
        <v>677191</v>
      </c>
      <c r="F418">
        <f t="shared" ca="1" si="62"/>
        <v>162162</v>
      </c>
      <c r="G418">
        <f t="shared" ca="1" si="63"/>
        <v>72</v>
      </c>
      <c r="H418">
        <f t="shared" ca="1" si="64"/>
        <v>584</v>
      </c>
      <c r="I418" t="str">
        <f t="shared" ca="1" si="65"/>
        <v>Freelancer</v>
      </c>
      <c r="J418" t="str">
        <f t="shared" ca="1" si="66"/>
        <v>Home</v>
      </c>
      <c r="K418" t="str">
        <f t="shared" ca="1" si="67"/>
        <v>Approved</v>
      </c>
      <c r="L418">
        <f t="shared" si="54"/>
        <v>971</v>
      </c>
      <c r="M418">
        <f t="shared" ca="1" si="55"/>
        <v>612</v>
      </c>
      <c r="N418">
        <f t="shared" ca="1" si="56"/>
        <v>292</v>
      </c>
      <c r="O418" s="2">
        <f t="shared" ca="1" si="57"/>
        <v>0.63027806385169927</v>
      </c>
    </row>
    <row r="419" spans="1:15" x14ac:dyDescent="0.3">
      <c r="A419" s="3" t="s">
        <v>624</v>
      </c>
      <c r="B419" t="str">
        <f t="shared" ca="1" si="58"/>
        <v>Ms. Anjali Singh</v>
      </c>
      <c r="C419">
        <f t="shared" ca="1" si="59"/>
        <v>26</v>
      </c>
      <c r="D419" t="str">
        <f t="shared" ca="1" si="60"/>
        <v>Female</v>
      </c>
      <c r="E419">
        <f t="shared" ca="1" si="61"/>
        <v>506681</v>
      </c>
      <c r="F419">
        <f t="shared" ca="1" si="62"/>
        <v>160907</v>
      </c>
      <c r="G419">
        <f t="shared" ca="1" si="63"/>
        <v>72</v>
      </c>
      <c r="H419">
        <f t="shared" ca="1" si="64"/>
        <v>673</v>
      </c>
      <c r="I419" t="str">
        <f t="shared" ca="1" si="65"/>
        <v>Self-Employed</v>
      </c>
      <c r="J419" t="str">
        <f t="shared" ca="1" si="66"/>
        <v>Car</v>
      </c>
      <c r="K419" t="str">
        <f t="shared" ca="1" si="67"/>
        <v>Approved</v>
      </c>
      <c r="L419">
        <f t="shared" si="54"/>
        <v>971</v>
      </c>
      <c r="M419">
        <f t="shared" ca="1" si="55"/>
        <v>612</v>
      </c>
      <c r="N419">
        <f t="shared" ca="1" si="56"/>
        <v>292</v>
      </c>
      <c r="O419" s="2">
        <f t="shared" ca="1" si="57"/>
        <v>0.63027806385169927</v>
      </c>
    </row>
    <row r="420" spans="1:15" x14ac:dyDescent="0.3">
      <c r="A420" s="3" t="s">
        <v>625</v>
      </c>
      <c r="B420" t="str">
        <f t="shared" ca="1" si="58"/>
        <v>Mr. Raj Kumar</v>
      </c>
      <c r="C420">
        <f t="shared" ca="1" si="59"/>
        <v>53</v>
      </c>
      <c r="D420" t="str">
        <f t="shared" ca="1" si="60"/>
        <v>Female</v>
      </c>
      <c r="E420">
        <f t="shared" ca="1" si="61"/>
        <v>903842</v>
      </c>
      <c r="F420">
        <f t="shared" ca="1" si="62"/>
        <v>1973304</v>
      </c>
      <c r="G420">
        <f t="shared" ca="1" si="63"/>
        <v>84</v>
      </c>
      <c r="H420">
        <f t="shared" ca="1" si="64"/>
        <v>800</v>
      </c>
      <c r="I420" t="str">
        <f t="shared" ca="1" si="65"/>
        <v>Self-Employed</v>
      </c>
      <c r="J420" t="str">
        <f t="shared" ca="1" si="66"/>
        <v>Home</v>
      </c>
      <c r="K420" t="str">
        <f t="shared" ca="1" si="67"/>
        <v>Approved</v>
      </c>
      <c r="L420">
        <f t="shared" si="54"/>
        <v>971</v>
      </c>
      <c r="M420">
        <f t="shared" ca="1" si="55"/>
        <v>612</v>
      </c>
      <c r="N420">
        <f t="shared" ca="1" si="56"/>
        <v>292</v>
      </c>
      <c r="O420" s="2">
        <f t="shared" ca="1" si="57"/>
        <v>0.63027806385169927</v>
      </c>
    </row>
    <row r="421" spans="1:15" x14ac:dyDescent="0.3">
      <c r="A421" s="3" t="s">
        <v>626</v>
      </c>
      <c r="B421" t="str">
        <f t="shared" ca="1" si="58"/>
        <v>Mr. Rohan Gupta</v>
      </c>
      <c r="C421">
        <f t="shared" ca="1" si="59"/>
        <v>39</v>
      </c>
      <c r="D421" t="str">
        <f t="shared" ca="1" si="60"/>
        <v>Male</v>
      </c>
      <c r="E421">
        <f t="shared" ca="1" si="61"/>
        <v>370616</v>
      </c>
      <c r="F421">
        <f t="shared" ca="1" si="62"/>
        <v>190743</v>
      </c>
      <c r="G421">
        <f t="shared" ca="1" si="63"/>
        <v>72</v>
      </c>
      <c r="H421">
        <f t="shared" ca="1" si="64"/>
        <v>363</v>
      </c>
      <c r="I421" t="str">
        <f t="shared" ca="1" si="65"/>
        <v>Salaried</v>
      </c>
      <c r="J421" t="str">
        <f t="shared" ca="1" si="66"/>
        <v>Car</v>
      </c>
      <c r="K421" t="str">
        <f t="shared" ca="1" si="67"/>
        <v>Rejected</v>
      </c>
      <c r="L421">
        <f t="shared" si="54"/>
        <v>971</v>
      </c>
      <c r="M421">
        <f t="shared" ca="1" si="55"/>
        <v>612</v>
      </c>
      <c r="N421">
        <f t="shared" ca="1" si="56"/>
        <v>292</v>
      </c>
      <c r="O421" s="2">
        <f t="shared" ca="1" si="57"/>
        <v>0.63027806385169927</v>
      </c>
    </row>
    <row r="422" spans="1:15" x14ac:dyDescent="0.3">
      <c r="A422" s="3" t="s">
        <v>627</v>
      </c>
      <c r="B422" t="str">
        <f t="shared" ca="1" si="58"/>
        <v>Mr. Raj Kumar</v>
      </c>
      <c r="C422">
        <f t="shared" ca="1" si="59"/>
        <v>39</v>
      </c>
      <c r="D422" t="str">
        <f t="shared" ca="1" si="60"/>
        <v>Male</v>
      </c>
      <c r="E422">
        <f t="shared" ca="1" si="61"/>
        <v>872496</v>
      </c>
      <c r="F422">
        <f t="shared" ca="1" si="62"/>
        <v>1219356</v>
      </c>
      <c r="G422">
        <f t="shared" ca="1" si="63"/>
        <v>48</v>
      </c>
      <c r="H422">
        <f t="shared" ca="1" si="64"/>
        <v>530</v>
      </c>
      <c r="I422" t="str">
        <f t="shared" ca="1" si="65"/>
        <v>Freelancer</v>
      </c>
      <c r="J422" t="str">
        <f t="shared" ca="1" si="66"/>
        <v>Personal</v>
      </c>
      <c r="K422" t="str">
        <f t="shared" ca="1" si="67"/>
        <v>Approved</v>
      </c>
      <c r="L422">
        <f t="shared" si="54"/>
        <v>971</v>
      </c>
      <c r="M422">
        <f t="shared" ca="1" si="55"/>
        <v>612</v>
      </c>
      <c r="N422">
        <f t="shared" ca="1" si="56"/>
        <v>292</v>
      </c>
      <c r="O422" s="2">
        <f t="shared" ca="1" si="57"/>
        <v>0.63027806385169927</v>
      </c>
    </row>
    <row r="423" spans="1:15" x14ac:dyDescent="0.3">
      <c r="A423" s="3" t="s">
        <v>628</v>
      </c>
      <c r="B423" t="str">
        <f t="shared" ca="1" si="58"/>
        <v>Mr. Raj Kumar</v>
      </c>
      <c r="C423">
        <f t="shared" ca="1" si="59"/>
        <v>29</v>
      </c>
      <c r="D423" t="str">
        <f t="shared" ca="1" si="60"/>
        <v>Male</v>
      </c>
      <c r="E423">
        <f t="shared" ca="1" si="61"/>
        <v>1684731</v>
      </c>
      <c r="F423">
        <f t="shared" ca="1" si="62"/>
        <v>1623419</v>
      </c>
      <c r="G423">
        <f t="shared" ca="1" si="63"/>
        <v>36</v>
      </c>
      <c r="H423">
        <f t="shared" ca="1" si="64"/>
        <v>331</v>
      </c>
      <c r="I423" t="str">
        <f t="shared" ca="1" si="65"/>
        <v>Self-Employed</v>
      </c>
      <c r="J423" t="str">
        <f t="shared" ca="1" si="66"/>
        <v>Education</v>
      </c>
      <c r="K423" t="str">
        <f t="shared" ca="1" si="67"/>
        <v>Approved</v>
      </c>
      <c r="L423">
        <f t="shared" si="54"/>
        <v>971</v>
      </c>
      <c r="M423">
        <f t="shared" ca="1" si="55"/>
        <v>612</v>
      </c>
      <c r="N423">
        <f t="shared" ca="1" si="56"/>
        <v>292</v>
      </c>
      <c r="O423" s="2">
        <f t="shared" ca="1" si="57"/>
        <v>0.63027806385169927</v>
      </c>
    </row>
    <row r="424" spans="1:15" x14ac:dyDescent="0.3">
      <c r="A424" s="3" t="s">
        <v>629</v>
      </c>
      <c r="B424" t="str">
        <f t="shared" ca="1" si="58"/>
        <v>Mr. Arun Kumar</v>
      </c>
      <c r="C424">
        <f t="shared" ca="1" si="59"/>
        <v>47</v>
      </c>
      <c r="D424" t="str">
        <f t="shared" ca="1" si="60"/>
        <v>Female</v>
      </c>
      <c r="E424">
        <f t="shared" ca="1" si="61"/>
        <v>692857</v>
      </c>
      <c r="F424">
        <f t="shared" ca="1" si="62"/>
        <v>195864</v>
      </c>
      <c r="G424">
        <f t="shared" ca="1" si="63"/>
        <v>36</v>
      </c>
      <c r="H424">
        <f t="shared" ca="1" si="64"/>
        <v>431</v>
      </c>
      <c r="I424" t="str">
        <f t="shared" ca="1" si="65"/>
        <v>Freelancer</v>
      </c>
      <c r="J424" t="str">
        <f t="shared" ca="1" si="66"/>
        <v>Home</v>
      </c>
      <c r="K424" t="str">
        <f t="shared" ca="1" si="67"/>
        <v>Approved</v>
      </c>
      <c r="L424">
        <f t="shared" si="54"/>
        <v>971</v>
      </c>
      <c r="M424">
        <f t="shared" ca="1" si="55"/>
        <v>612</v>
      </c>
      <c r="N424">
        <f t="shared" ca="1" si="56"/>
        <v>292</v>
      </c>
      <c r="O424" s="2">
        <f t="shared" ca="1" si="57"/>
        <v>0.63027806385169927</v>
      </c>
    </row>
    <row r="425" spans="1:15" x14ac:dyDescent="0.3">
      <c r="A425" s="3" t="s">
        <v>630</v>
      </c>
      <c r="B425" t="str">
        <f t="shared" ca="1" si="58"/>
        <v>Mr. Arun Kumar</v>
      </c>
      <c r="C425">
        <f t="shared" ca="1" si="59"/>
        <v>36</v>
      </c>
      <c r="D425" t="str">
        <f t="shared" ca="1" si="60"/>
        <v>Female</v>
      </c>
      <c r="E425">
        <f t="shared" ca="1" si="61"/>
        <v>712923</v>
      </c>
      <c r="F425">
        <f t="shared" ca="1" si="62"/>
        <v>1401695</v>
      </c>
      <c r="G425">
        <f t="shared" ca="1" si="63"/>
        <v>48</v>
      </c>
      <c r="H425">
        <f t="shared" ca="1" si="64"/>
        <v>804</v>
      </c>
      <c r="I425" t="str">
        <f t="shared" ca="1" si="65"/>
        <v>Freelancer</v>
      </c>
      <c r="J425" t="str">
        <f t="shared" ca="1" si="66"/>
        <v>Car</v>
      </c>
      <c r="K425" t="str">
        <f t="shared" ca="1" si="67"/>
        <v>Rejected</v>
      </c>
      <c r="L425">
        <f t="shared" si="54"/>
        <v>971</v>
      </c>
      <c r="M425">
        <f t="shared" ca="1" si="55"/>
        <v>612</v>
      </c>
      <c r="N425">
        <f t="shared" ca="1" si="56"/>
        <v>292</v>
      </c>
      <c r="O425" s="2">
        <f t="shared" ca="1" si="57"/>
        <v>0.63027806385169927</v>
      </c>
    </row>
    <row r="426" spans="1:15" x14ac:dyDescent="0.3">
      <c r="A426" s="3" t="s">
        <v>631</v>
      </c>
      <c r="B426" t="str">
        <f t="shared" ca="1" si="58"/>
        <v>Mr. Rohan Gupta</v>
      </c>
      <c r="C426">
        <f t="shared" ca="1" si="59"/>
        <v>63</v>
      </c>
      <c r="D426" t="str">
        <f t="shared" ca="1" si="60"/>
        <v>Male</v>
      </c>
      <c r="E426">
        <f t="shared" ca="1" si="61"/>
        <v>820521</v>
      </c>
      <c r="F426">
        <f t="shared" ca="1" si="62"/>
        <v>500858</v>
      </c>
      <c r="G426">
        <f t="shared" ca="1" si="63"/>
        <v>84</v>
      </c>
      <c r="H426">
        <f t="shared" ca="1" si="64"/>
        <v>695</v>
      </c>
      <c r="I426" t="str">
        <f t="shared" ca="1" si="65"/>
        <v>Self-Employed</v>
      </c>
      <c r="J426" t="str">
        <f t="shared" ca="1" si="66"/>
        <v>Education</v>
      </c>
      <c r="K426" t="str">
        <f t="shared" ca="1" si="67"/>
        <v>Rejected</v>
      </c>
      <c r="L426">
        <f t="shared" si="54"/>
        <v>971</v>
      </c>
      <c r="M426">
        <f t="shared" ca="1" si="55"/>
        <v>612</v>
      </c>
      <c r="N426">
        <f t="shared" ca="1" si="56"/>
        <v>292</v>
      </c>
      <c r="O426" s="2">
        <f t="shared" ca="1" si="57"/>
        <v>0.63027806385169927</v>
      </c>
    </row>
    <row r="427" spans="1:15" x14ac:dyDescent="0.3">
      <c r="A427" s="3" t="s">
        <v>632</v>
      </c>
      <c r="B427" t="str">
        <f t="shared" ca="1" si="58"/>
        <v>Mr. Raj Kumar</v>
      </c>
      <c r="C427">
        <f t="shared" ca="1" si="59"/>
        <v>45</v>
      </c>
      <c r="D427" t="str">
        <f t="shared" ca="1" si="60"/>
        <v>Male</v>
      </c>
      <c r="E427">
        <f t="shared" ca="1" si="61"/>
        <v>341711</v>
      </c>
      <c r="F427">
        <f t="shared" ca="1" si="62"/>
        <v>722815</v>
      </c>
      <c r="G427">
        <f t="shared" ca="1" si="63"/>
        <v>36</v>
      </c>
      <c r="H427">
        <f t="shared" ca="1" si="64"/>
        <v>839</v>
      </c>
      <c r="I427" t="str">
        <f t="shared" ca="1" si="65"/>
        <v>Business</v>
      </c>
      <c r="J427" t="str">
        <f t="shared" ca="1" si="66"/>
        <v>Home</v>
      </c>
      <c r="K427" t="str">
        <f t="shared" ca="1" si="67"/>
        <v>Approved</v>
      </c>
      <c r="L427">
        <f t="shared" si="54"/>
        <v>971</v>
      </c>
      <c r="M427">
        <f t="shared" ca="1" si="55"/>
        <v>612</v>
      </c>
      <c r="N427">
        <f t="shared" ca="1" si="56"/>
        <v>292</v>
      </c>
      <c r="O427" s="2">
        <f t="shared" ca="1" si="57"/>
        <v>0.63027806385169927</v>
      </c>
    </row>
    <row r="428" spans="1:15" x14ac:dyDescent="0.3">
      <c r="A428" s="3" t="s">
        <v>633</v>
      </c>
      <c r="B428" t="str">
        <f t="shared" ca="1" si="58"/>
        <v>Ms. Anjali Singh</v>
      </c>
      <c r="C428">
        <f t="shared" ca="1" si="59"/>
        <v>24</v>
      </c>
      <c r="D428" t="str">
        <f t="shared" ca="1" si="60"/>
        <v>Female</v>
      </c>
      <c r="E428">
        <f t="shared" ca="1" si="61"/>
        <v>212539</v>
      </c>
      <c r="F428">
        <f t="shared" ca="1" si="62"/>
        <v>652813</v>
      </c>
      <c r="G428">
        <f t="shared" ca="1" si="63"/>
        <v>84</v>
      </c>
      <c r="H428">
        <f t="shared" ca="1" si="64"/>
        <v>714</v>
      </c>
      <c r="I428" t="str">
        <f t="shared" ca="1" si="65"/>
        <v>Business</v>
      </c>
      <c r="J428" t="str">
        <f t="shared" ca="1" si="66"/>
        <v>Business</v>
      </c>
      <c r="K428" t="str">
        <f t="shared" ca="1" si="67"/>
        <v>Rejected</v>
      </c>
      <c r="L428">
        <f t="shared" si="54"/>
        <v>971</v>
      </c>
      <c r="M428">
        <f t="shared" ca="1" si="55"/>
        <v>612</v>
      </c>
      <c r="N428">
        <f t="shared" ca="1" si="56"/>
        <v>292</v>
      </c>
      <c r="O428" s="2">
        <f t="shared" ca="1" si="57"/>
        <v>0.63027806385169927</v>
      </c>
    </row>
    <row r="429" spans="1:15" x14ac:dyDescent="0.3">
      <c r="A429" s="3" t="s">
        <v>634</v>
      </c>
      <c r="B429" t="str">
        <f t="shared" ca="1" si="58"/>
        <v>Ms. Neha Verma</v>
      </c>
      <c r="C429">
        <f t="shared" ca="1" si="59"/>
        <v>59</v>
      </c>
      <c r="D429" t="str">
        <f t="shared" ca="1" si="60"/>
        <v>Male</v>
      </c>
      <c r="E429">
        <f t="shared" ca="1" si="61"/>
        <v>436669</v>
      </c>
      <c r="F429">
        <f t="shared" ca="1" si="62"/>
        <v>1235508</v>
      </c>
      <c r="G429">
        <f t="shared" ca="1" si="63"/>
        <v>12</v>
      </c>
      <c r="H429">
        <f t="shared" ca="1" si="64"/>
        <v>832</v>
      </c>
      <c r="I429" t="str">
        <f t="shared" ca="1" si="65"/>
        <v>Contract-Based</v>
      </c>
      <c r="J429" t="str">
        <f t="shared" ca="1" si="66"/>
        <v>Personal</v>
      </c>
      <c r="K429" t="str">
        <f t="shared" ca="1" si="67"/>
        <v>Rejected</v>
      </c>
      <c r="L429">
        <f t="shared" si="54"/>
        <v>971</v>
      </c>
      <c r="M429">
        <f t="shared" ca="1" si="55"/>
        <v>612</v>
      </c>
      <c r="N429">
        <f t="shared" ca="1" si="56"/>
        <v>292</v>
      </c>
      <c r="O429" s="2">
        <f t="shared" ca="1" si="57"/>
        <v>0.63027806385169927</v>
      </c>
    </row>
    <row r="430" spans="1:15" x14ac:dyDescent="0.3">
      <c r="A430" s="3" t="s">
        <v>635</v>
      </c>
      <c r="B430" t="str">
        <f t="shared" ca="1" si="58"/>
        <v>Ms. Neha Verma</v>
      </c>
      <c r="C430">
        <f t="shared" ca="1" si="59"/>
        <v>29</v>
      </c>
      <c r="D430" t="str">
        <f t="shared" ca="1" si="60"/>
        <v>Female</v>
      </c>
      <c r="E430">
        <f t="shared" ca="1" si="61"/>
        <v>1438259</v>
      </c>
      <c r="F430">
        <f t="shared" ca="1" si="62"/>
        <v>2353236</v>
      </c>
      <c r="G430">
        <f t="shared" ca="1" si="63"/>
        <v>12</v>
      </c>
      <c r="H430">
        <f t="shared" ca="1" si="64"/>
        <v>846</v>
      </c>
      <c r="I430" t="str">
        <f t="shared" ca="1" si="65"/>
        <v>Contract-Based</v>
      </c>
      <c r="J430" t="str">
        <f t="shared" ca="1" si="66"/>
        <v>Business</v>
      </c>
      <c r="K430" t="str">
        <f t="shared" ca="1" si="67"/>
        <v>Approved</v>
      </c>
      <c r="L430">
        <f t="shared" si="54"/>
        <v>971</v>
      </c>
      <c r="M430">
        <f t="shared" ca="1" si="55"/>
        <v>612</v>
      </c>
      <c r="N430">
        <f t="shared" ca="1" si="56"/>
        <v>292</v>
      </c>
      <c r="O430" s="2">
        <f t="shared" ca="1" si="57"/>
        <v>0.63027806385169927</v>
      </c>
    </row>
    <row r="431" spans="1:15" x14ac:dyDescent="0.3">
      <c r="A431" s="3" t="s">
        <v>636</v>
      </c>
      <c r="B431" t="str">
        <f t="shared" ca="1" si="58"/>
        <v>Ms. Neha Verma</v>
      </c>
      <c r="C431">
        <f t="shared" ca="1" si="59"/>
        <v>37</v>
      </c>
      <c r="D431" t="str">
        <f t="shared" ca="1" si="60"/>
        <v>Female</v>
      </c>
      <c r="E431">
        <f t="shared" ca="1" si="61"/>
        <v>1993279</v>
      </c>
      <c r="F431">
        <f t="shared" ca="1" si="62"/>
        <v>2139084</v>
      </c>
      <c r="G431">
        <f t="shared" ca="1" si="63"/>
        <v>60</v>
      </c>
      <c r="H431">
        <f t="shared" ca="1" si="64"/>
        <v>869</v>
      </c>
      <c r="I431" t="str">
        <f t="shared" ca="1" si="65"/>
        <v>Self-Employed</v>
      </c>
      <c r="J431" t="str">
        <f t="shared" ca="1" si="66"/>
        <v>Education</v>
      </c>
      <c r="K431" t="str">
        <f t="shared" ca="1" si="67"/>
        <v>Approved</v>
      </c>
      <c r="L431">
        <f t="shared" si="54"/>
        <v>971</v>
      </c>
      <c r="M431">
        <f t="shared" ca="1" si="55"/>
        <v>612</v>
      </c>
      <c r="N431">
        <f t="shared" ca="1" si="56"/>
        <v>292</v>
      </c>
      <c r="O431" s="2">
        <f t="shared" ca="1" si="57"/>
        <v>0.63027806385169927</v>
      </c>
    </row>
    <row r="432" spans="1:15" x14ac:dyDescent="0.3">
      <c r="A432" s="3" t="s">
        <v>637</v>
      </c>
      <c r="B432" t="str">
        <f t="shared" ca="1" si="58"/>
        <v>Ms. Anjali Singh</v>
      </c>
      <c r="C432">
        <f t="shared" ca="1" si="59"/>
        <v>21</v>
      </c>
      <c r="D432" t="str">
        <f t="shared" ca="1" si="60"/>
        <v>Female</v>
      </c>
      <c r="E432">
        <f t="shared" ca="1" si="61"/>
        <v>1791843</v>
      </c>
      <c r="F432">
        <f t="shared" ca="1" si="62"/>
        <v>1679495</v>
      </c>
      <c r="G432">
        <f t="shared" ca="1" si="63"/>
        <v>12</v>
      </c>
      <c r="H432">
        <f t="shared" ca="1" si="64"/>
        <v>460</v>
      </c>
      <c r="I432" t="str">
        <f t="shared" ca="1" si="65"/>
        <v>Freelancer</v>
      </c>
      <c r="J432" t="str">
        <f t="shared" ca="1" si="66"/>
        <v>Business</v>
      </c>
      <c r="K432" t="str">
        <f t="shared" ca="1" si="67"/>
        <v>Rejected</v>
      </c>
      <c r="L432">
        <f t="shared" si="54"/>
        <v>971</v>
      </c>
      <c r="M432">
        <f t="shared" ca="1" si="55"/>
        <v>612</v>
      </c>
      <c r="N432">
        <f t="shared" ca="1" si="56"/>
        <v>292</v>
      </c>
      <c r="O432" s="2">
        <f t="shared" ca="1" si="57"/>
        <v>0.63027806385169927</v>
      </c>
    </row>
    <row r="433" spans="1:15" x14ac:dyDescent="0.3">
      <c r="A433" s="3" t="s">
        <v>638</v>
      </c>
      <c r="B433" t="str">
        <f t="shared" ca="1" si="58"/>
        <v>Ms. Kajal Yadav</v>
      </c>
      <c r="C433">
        <f t="shared" ca="1" si="59"/>
        <v>45</v>
      </c>
      <c r="D433" t="str">
        <f t="shared" ca="1" si="60"/>
        <v>Female</v>
      </c>
      <c r="E433">
        <f t="shared" ca="1" si="61"/>
        <v>611234</v>
      </c>
      <c r="F433">
        <f t="shared" ca="1" si="62"/>
        <v>1840612</v>
      </c>
      <c r="G433">
        <f t="shared" ca="1" si="63"/>
        <v>24</v>
      </c>
      <c r="H433">
        <f t="shared" ca="1" si="64"/>
        <v>390</v>
      </c>
      <c r="I433" t="str">
        <f t="shared" ca="1" si="65"/>
        <v>Contract-Based</v>
      </c>
      <c r="J433" t="str">
        <f t="shared" ca="1" si="66"/>
        <v>Business</v>
      </c>
      <c r="K433" t="str">
        <f t="shared" ca="1" si="67"/>
        <v>Rejected</v>
      </c>
      <c r="L433">
        <f t="shared" si="54"/>
        <v>971</v>
      </c>
      <c r="M433">
        <f t="shared" ca="1" si="55"/>
        <v>612</v>
      </c>
      <c r="N433">
        <f t="shared" ca="1" si="56"/>
        <v>292</v>
      </c>
      <c r="O433" s="2">
        <f t="shared" ca="1" si="57"/>
        <v>0.63027806385169927</v>
      </c>
    </row>
    <row r="434" spans="1:15" x14ac:dyDescent="0.3">
      <c r="A434" s="3" t="s">
        <v>639</v>
      </c>
      <c r="B434" t="str">
        <f t="shared" ca="1" si="58"/>
        <v>Ms. Anjali Singh</v>
      </c>
      <c r="C434">
        <f t="shared" ca="1" si="59"/>
        <v>31</v>
      </c>
      <c r="D434" t="str">
        <f t="shared" ca="1" si="60"/>
        <v>Female</v>
      </c>
      <c r="E434">
        <f t="shared" ca="1" si="61"/>
        <v>1584454</v>
      </c>
      <c r="F434">
        <f t="shared" ca="1" si="62"/>
        <v>502629</v>
      </c>
      <c r="G434">
        <f t="shared" ca="1" si="63"/>
        <v>12</v>
      </c>
      <c r="H434">
        <f t="shared" ca="1" si="64"/>
        <v>595</v>
      </c>
      <c r="I434" t="str">
        <f t="shared" ca="1" si="65"/>
        <v>Student</v>
      </c>
      <c r="J434" t="str">
        <f t="shared" ca="1" si="66"/>
        <v>Education</v>
      </c>
      <c r="K434" t="str">
        <f t="shared" ca="1" si="67"/>
        <v>Approved</v>
      </c>
      <c r="L434">
        <f t="shared" si="54"/>
        <v>971</v>
      </c>
      <c r="M434">
        <f t="shared" ca="1" si="55"/>
        <v>612</v>
      </c>
      <c r="N434">
        <f t="shared" ca="1" si="56"/>
        <v>292</v>
      </c>
      <c r="O434" s="2">
        <f t="shared" ca="1" si="57"/>
        <v>0.63027806385169927</v>
      </c>
    </row>
    <row r="435" spans="1:15" x14ac:dyDescent="0.3">
      <c r="A435" s="3" t="s">
        <v>640</v>
      </c>
      <c r="B435" t="str">
        <f t="shared" ca="1" si="58"/>
        <v>Ms. Neha Verma</v>
      </c>
      <c r="C435">
        <f t="shared" ca="1" si="59"/>
        <v>59</v>
      </c>
      <c r="D435" t="str">
        <f t="shared" ca="1" si="60"/>
        <v>Male</v>
      </c>
      <c r="E435">
        <f t="shared" ca="1" si="61"/>
        <v>932568</v>
      </c>
      <c r="F435">
        <f t="shared" ca="1" si="62"/>
        <v>718423</v>
      </c>
      <c r="G435">
        <f t="shared" ca="1" si="63"/>
        <v>12</v>
      </c>
      <c r="H435">
        <f t="shared" ca="1" si="64"/>
        <v>653</v>
      </c>
      <c r="I435" t="str">
        <f t="shared" ca="1" si="65"/>
        <v>Freelancer</v>
      </c>
      <c r="J435" t="str">
        <f t="shared" ca="1" si="66"/>
        <v>Car</v>
      </c>
      <c r="K435" t="str">
        <f t="shared" ca="1" si="67"/>
        <v>Rejected</v>
      </c>
      <c r="L435">
        <f t="shared" si="54"/>
        <v>971</v>
      </c>
      <c r="M435">
        <f t="shared" ca="1" si="55"/>
        <v>612</v>
      </c>
      <c r="N435">
        <f t="shared" ca="1" si="56"/>
        <v>292</v>
      </c>
      <c r="O435" s="2">
        <f t="shared" ca="1" si="57"/>
        <v>0.63027806385169927</v>
      </c>
    </row>
    <row r="436" spans="1:15" x14ac:dyDescent="0.3">
      <c r="A436" s="3" t="s">
        <v>641</v>
      </c>
      <c r="B436" t="str">
        <f t="shared" ca="1" si="58"/>
        <v>Ms. Pooja Patel</v>
      </c>
      <c r="C436">
        <f t="shared" ca="1" si="59"/>
        <v>60</v>
      </c>
      <c r="D436" t="str">
        <f t="shared" ca="1" si="60"/>
        <v>Female</v>
      </c>
      <c r="E436">
        <f t="shared" ca="1" si="61"/>
        <v>309121</v>
      </c>
      <c r="F436">
        <f t="shared" ca="1" si="62"/>
        <v>2037592</v>
      </c>
      <c r="G436">
        <f t="shared" ca="1" si="63"/>
        <v>24</v>
      </c>
      <c r="H436">
        <f t="shared" ca="1" si="64"/>
        <v>771</v>
      </c>
      <c r="I436" t="str">
        <f t="shared" ca="1" si="65"/>
        <v>Business</v>
      </c>
      <c r="J436" t="str">
        <f t="shared" ca="1" si="66"/>
        <v>Personal</v>
      </c>
      <c r="K436" t="str">
        <f t="shared" ca="1" si="67"/>
        <v>Approved</v>
      </c>
      <c r="L436">
        <f t="shared" si="54"/>
        <v>971</v>
      </c>
      <c r="M436">
        <f t="shared" ca="1" si="55"/>
        <v>612</v>
      </c>
      <c r="N436">
        <f t="shared" ca="1" si="56"/>
        <v>292</v>
      </c>
      <c r="O436" s="2">
        <f t="shared" ca="1" si="57"/>
        <v>0.63027806385169927</v>
      </c>
    </row>
    <row r="437" spans="1:15" x14ac:dyDescent="0.3">
      <c r="A437" s="3" t="s">
        <v>642</v>
      </c>
      <c r="B437" t="str">
        <f t="shared" ca="1" si="58"/>
        <v>Mr. Raj Kumar</v>
      </c>
      <c r="C437">
        <f t="shared" ca="1" si="59"/>
        <v>57</v>
      </c>
      <c r="D437" t="str">
        <f t="shared" ca="1" si="60"/>
        <v>Male</v>
      </c>
      <c r="E437">
        <f t="shared" ca="1" si="61"/>
        <v>1170911</v>
      </c>
      <c r="F437">
        <f t="shared" ca="1" si="62"/>
        <v>1584772</v>
      </c>
      <c r="G437">
        <f t="shared" ca="1" si="63"/>
        <v>48</v>
      </c>
      <c r="H437">
        <f t="shared" ca="1" si="64"/>
        <v>582</v>
      </c>
      <c r="I437" t="str">
        <f t="shared" ca="1" si="65"/>
        <v>Contract-Based</v>
      </c>
      <c r="J437" t="str">
        <f t="shared" ca="1" si="66"/>
        <v>Education</v>
      </c>
      <c r="K437" t="str">
        <f t="shared" ca="1" si="67"/>
        <v>Approved</v>
      </c>
      <c r="L437">
        <f t="shared" si="54"/>
        <v>971</v>
      </c>
      <c r="M437">
        <f t="shared" ca="1" si="55"/>
        <v>612</v>
      </c>
      <c r="N437">
        <f t="shared" ca="1" si="56"/>
        <v>292</v>
      </c>
      <c r="O437" s="2">
        <f t="shared" ca="1" si="57"/>
        <v>0.63027806385169927</v>
      </c>
    </row>
    <row r="438" spans="1:15" x14ac:dyDescent="0.3">
      <c r="A438" s="3" t="s">
        <v>643</v>
      </c>
      <c r="B438" t="str">
        <f t="shared" ca="1" si="58"/>
        <v>Mr. Arun Kumar</v>
      </c>
      <c r="C438">
        <f t="shared" ca="1" si="59"/>
        <v>39</v>
      </c>
      <c r="D438" t="str">
        <f t="shared" ca="1" si="60"/>
        <v>Male</v>
      </c>
      <c r="E438">
        <f t="shared" ca="1" si="61"/>
        <v>346576</v>
      </c>
      <c r="F438">
        <f t="shared" ca="1" si="62"/>
        <v>75137</v>
      </c>
      <c r="G438">
        <f t="shared" ca="1" si="63"/>
        <v>72</v>
      </c>
      <c r="H438">
        <f t="shared" ca="1" si="64"/>
        <v>736</v>
      </c>
      <c r="I438" t="str">
        <f t="shared" ca="1" si="65"/>
        <v>Freelancer</v>
      </c>
      <c r="J438" t="str">
        <f t="shared" ca="1" si="66"/>
        <v>Home</v>
      </c>
      <c r="K438" t="str">
        <f t="shared" ca="1" si="67"/>
        <v>Rejected</v>
      </c>
      <c r="L438">
        <f t="shared" si="54"/>
        <v>971</v>
      </c>
      <c r="M438">
        <f t="shared" ca="1" si="55"/>
        <v>612</v>
      </c>
      <c r="N438">
        <f t="shared" ca="1" si="56"/>
        <v>292</v>
      </c>
      <c r="O438" s="2">
        <f t="shared" ca="1" si="57"/>
        <v>0.63027806385169927</v>
      </c>
    </row>
    <row r="439" spans="1:15" x14ac:dyDescent="0.3">
      <c r="A439" s="3" t="s">
        <v>644</v>
      </c>
      <c r="B439" t="str">
        <f t="shared" ca="1" si="58"/>
        <v>Mr. Arun Kumar</v>
      </c>
      <c r="C439">
        <f t="shared" ca="1" si="59"/>
        <v>26</v>
      </c>
      <c r="D439" t="str">
        <f t="shared" ca="1" si="60"/>
        <v>Female</v>
      </c>
      <c r="E439">
        <f t="shared" ca="1" si="61"/>
        <v>1968680</v>
      </c>
      <c r="F439">
        <f t="shared" ca="1" si="62"/>
        <v>1824095</v>
      </c>
      <c r="G439">
        <f t="shared" ca="1" si="63"/>
        <v>48</v>
      </c>
      <c r="H439">
        <f t="shared" ca="1" si="64"/>
        <v>510</v>
      </c>
      <c r="I439" t="str">
        <f t="shared" ca="1" si="65"/>
        <v>Self-Employed</v>
      </c>
      <c r="J439" t="str">
        <f t="shared" ca="1" si="66"/>
        <v>Home</v>
      </c>
      <c r="K439" t="str">
        <f t="shared" ca="1" si="67"/>
        <v>Approved</v>
      </c>
      <c r="L439">
        <f t="shared" si="54"/>
        <v>971</v>
      </c>
      <c r="M439">
        <f t="shared" ca="1" si="55"/>
        <v>612</v>
      </c>
      <c r="N439">
        <f t="shared" ca="1" si="56"/>
        <v>292</v>
      </c>
      <c r="O439" s="2">
        <f t="shared" ca="1" si="57"/>
        <v>0.63027806385169927</v>
      </c>
    </row>
    <row r="440" spans="1:15" x14ac:dyDescent="0.3">
      <c r="A440" s="3" t="s">
        <v>645</v>
      </c>
      <c r="B440" t="str">
        <f t="shared" ca="1" si="58"/>
        <v>Ms. Anjali Singh</v>
      </c>
      <c r="C440">
        <f t="shared" ca="1" si="59"/>
        <v>57</v>
      </c>
      <c r="D440" t="str">
        <f t="shared" ca="1" si="60"/>
        <v>Male</v>
      </c>
      <c r="E440">
        <f t="shared" ca="1" si="61"/>
        <v>719207</v>
      </c>
      <c r="F440">
        <f t="shared" ca="1" si="62"/>
        <v>1772567</v>
      </c>
      <c r="G440">
        <f t="shared" ca="1" si="63"/>
        <v>72</v>
      </c>
      <c r="H440">
        <f t="shared" ca="1" si="64"/>
        <v>511</v>
      </c>
      <c r="I440" t="str">
        <f t="shared" ca="1" si="65"/>
        <v>Student</v>
      </c>
      <c r="J440" t="str">
        <f t="shared" ca="1" si="66"/>
        <v>Education</v>
      </c>
      <c r="K440" t="str">
        <f t="shared" ca="1" si="67"/>
        <v>Approved</v>
      </c>
      <c r="L440">
        <f t="shared" si="54"/>
        <v>971</v>
      </c>
      <c r="M440">
        <f t="shared" ca="1" si="55"/>
        <v>612</v>
      </c>
      <c r="N440">
        <f t="shared" ca="1" si="56"/>
        <v>292</v>
      </c>
      <c r="O440" s="2">
        <f t="shared" ca="1" si="57"/>
        <v>0.63027806385169927</v>
      </c>
    </row>
    <row r="441" spans="1:15" x14ac:dyDescent="0.3">
      <c r="A441" s="3" t="s">
        <v>646</v>
      </c>
      <c r="B441" t="str">
        <f t="shared" ca="1" si="58"/>
        <v>Ms. Anjali Singh</v>
      </c>
      <c r="C441">
        <f t="shared" ca="1" si="59"/>
        <v>59</v>
      </c>
      <c r="D441" t="str">
        <f t="shared" ca="1" si="60"/>
        <v>Male</v>
      </c>
      <c r="E441">
        <f t="shared" ca="1" si="61"/>
        <v>488490</v>
      </c>
      <c r="F441">
        <f t="shared" ca="1" si="62"/>
        <v>335574</v>
      </c>
      <c r="G441">
        <f t="shared" ca="1" si="63"/>
        <v>12</v>
      </c>
      <c r="H441">
        <f t="shared" ca="1" si="64"/>
        <v>675</v>
      </c>
      <c r="I441" t="str">
        <f t="shared" ca="1" si="65"/>
        <v>Self-Employed</v>
      </c>
      <c r="J441" t="str">
        <f t="shared" ca="1" si="66"/>
        <v>Business</v>
      </c>
      <c r="K441" t="str">
        <f t="shared" ca="1" si="67"/>
        <v>Rejected</v>
      </c>
      <c r="L441">
        <f t="shared" si="54"/>
        <v>971</v>
      </c>
      <c r="M441">
        <f t="shared" ca="1" si="55"/>
        <v>612</v>
      </c>
      <c r="N441">
        <f t="shared" ca="1" si="56"/>
        <v>292</v>
      </c>
      <c r="O441" s="2">
        <f t="shared" ca="1" si="57"/>
        <v>0.63027806385169927</v>
      </c>
    </row>
    <row r="442" spans="1:15" x14ac:dyDescent="0.3">
      <c r="A442" s="3" t="s">
        <v>647</v>
      </c>
      <c r="B442" t="str">
        <f t="shared" ca="1" si="58"/>
        <v>Mr. Rohan Gupta</v>
      </c>
      <c r="C442">
        <f t="shared" ca="1" si="59"/>
        <v>50</v>
      </c>
      <c r="D442" t="str">
        <f t="shared" ca="1" si="60"/>
        <v>Male</v>
      </c>
      <c r="E442">
        <f t="shared" ca="1" si="61"/>
        <v>836570</v>
      </c>
      <c r="F442">
        <f t="shared" ca="1" si="62"/>
        <v>875226</v>
      </c>
      <c r="G442">
        <f t="shared" ca="1" si="63"/>
        <v>72</v>
      </c>
      <c r="H442">
        <f t="shared" ca="1" si="64"/>
        <v>573</v>
      </c>
      <c r="I442" t="str">
        <f t="shared" ca="1" si="65"/>
        <v>Contract-Based</v>
      </c>
      <c r="J442" t="str">
        <f t="shared" ca="1" si="66"/>
        <v>Home</v>
      </c>
      <c r="K442" t="str">
        <f t="shared" ca="1" si="67"/>
        <v>Approved</v>
      </c>
      <c r="L442">
        <f t="shared" si="54"/>
        <v>971</v>
      </c>
      <c r="M442">
        <f t="shared" ca="1" si="55"/>
        <v>612</v>
      </c>
      <c r="N442">
        <f t="shared" ca="1" si="56"/>
        <v>292</v>
      </c>
      <c r="O442" s="2">
        <f t="shared" ca="1" si="57"/>
        <v>0.63027806385169927</v>
      </c>
    </row>
    <row r="443" spans="1:15" x14ac:dyDescent="0.3">
      <c r="A443" s="3" t="s">
        <v>648</v>
      </c>
      <c r="B443" t="str">
        <f t="shared" ca="1" si="58"/>
        <v>Ms. Neha Verma</v>
      </c>
      <c r="C443">
        <f t="shared" ca="1" si="59"/>
        <v>61</v>
      </c>
      <c r="D443" t="str">
        <f t="shared" ca="1" si="60"/>
        <v>Male</v>
      </c>
      <c r="E443">
        <f t="shared" ca="1" si="61"/>
        <v>587742</v>
      </c>
      <c r="F443">
        <f t="shared" ca="1" si="62"/>
        <v>946596</v>
      </c>
      <c r="G443">
        <f t="shared" ca="1" si="63"/>
        <v>48</v>
      </c>
      <c r="H443">
        <f t="shared" ca="1" si="64"/>
        <v>375</v>
      </c>
      <c r="I443" t="str">
        <f t="shared" ca="1" si="65"/>
        <v>Salaried</v>
      </c>
      <c r="J443" t="str">
        <f t="shared" ca="1" si="66"/>
        <v>Home</v>
      </c>
      <c r="K443" t="str">
        <f t="shared" ca="1" si="67"/>
        <v>Rejected</v>
      </c>
      <c r="L443">
        <f t="shared" si="54"/>
        <v>971</v>
      </c>
      <c r="M443">
        <f t="shared" ca="1" si="55"/>
        <v>612</v>
      </c>
      <c r="N443">
        <f t="shared" ca="1" si="56"/>
        <v>292</v>
      </c>
      <c r="O443" s="2">
        <f t="shared" ca="1" si="57"/>
        <v>0.63027806385169927</v>
      </c>
    </row>
    <row r="444" spans="1:15" x14ac:dyDescent="0.3">
      <c r="A444" s="3" t="s">
        <v>649</v>
      </c>
      <c r="B444" t="str">
        <f t="shared" ca="1" si="58"/>
        <v>Mr. Amit Das</v>
      </c>
      <c r="C444">
        <f t="shared" ca="1" si="59"/>
        <v>34</v>
      </c>
      <c r="D444" t="str">
        <f t="shared" ca="1" si="60"/>
        <v>Female</v>
      </c>
      <c r="E444">
        <f t="shared" ca="1" si="61"/>
        <v>500283</v>
      </c>
      <c r="F444">
        <f t="shared" ca="1" si="62"/>
        <v>253521</v>
      </c>
      <c r="G444">
        <f t="shared" ca="1" si="63"/>
        <v>72</v>
      </c>
      <c r="H444">
        <f t="shared" ca="1" si="64"/>
        <v>423</v>
      </c>
      <c r="I444" t="str">
        <f t="shared" ca="1" si="65"/>
        <v>Freelancer</v>
      </c>
      <c r="J444" t="str">
        <f t="shared" ca="1" si="66"/>
        <v>Business</v>
      </c>
      <c r="K444" t="str">
        <f t="shared" ca="1" si="67"/>
        <v>Rejected</v>
      </c>
      <c r="L444">
        <f t="shared" si="54"/>
        <v>971</v>
      </c>
      <c r="M444">
        <f t="shared" ca="1" si="55"/>
        <v>612</v>
      </c>
      <c r="N444">
        <f t="shared" ca="1" si="56"/>
        <v>292</v>
      </c>
      <c r="O444" s="2">
        <f t="shared" ca="1" si="57"/>
        <v>0.63027806385169927</v>
      </c>
    </row>
    <row r="445" spans="1:15" x14ac:dyDescent="0.3">
      <c r="A445" s="3" t="s">
        <v>650</v>
      </c>
      <c r="B445" t="str">
        <f t="shared" ca="1" si="58"/>
        <v>Mr. Arun Kumar</v>
      </c>
      <c r="C445">
        <f t="shared" ca="1" si="59"/>
        <v>33</v>
      </c>
      <c r="D445" t="str">
        <f t="shared" ca="1" si="60"/>
        <v>Male</v>
      </c>
      <c r="E445">
        <f t="shared" ca="1" si="61"/>
        <v>1628877</v>
      </c>
      <c r="F445">
        <f t="shared" ca="1" si="62"/>
        <v>796403</v>
      </c>
      <c r="G445">
        <f t="shared" ca="1" si="63"/>
        <v>48</v>
      </c>
      <c r="H445">
        <f t="shared" ca="1" si="64"/>
        <v>328</v>
      </c>
      <c r="I445" t="str">
        <f t="shared" ca="1" si="65"/>
        <v>Freelancer</v>
      </c>
      <c r="J445" t="str">
        <f t="shared" ca="1" si="66"/>
        <v>Education</v>
      </c>
      <c r="K445" t="str">
        <f t="shared" ca="1" si="67"/>
        <v>Approved</v>
      </c>
      <c r="L445">
        <f t="shared" si="54"/>
        <v>971</v>
      </c>
      <c r="M445">
        <f t="shared" ca="1" si="55"/>
        <v>612</v>
      </c>
      <c r="N445">
        <f t="shared" ca="1" si="56"/>
        <v>292</v>
      </c>
      <c r="O445" s="2">
        <f t="shared" ca="1" si="57"/>
        <v>0.63027806385169927</v>
      </c>
    </row>
    <row r="446" spans="1:15" x14ac:dyDescent="0.3">
      <c r="A446" s="3" t="s">
        <v>651</v>
      </c>
      <c r="B446" t="str">
        <f t="shared" ca="1" si="58"/>
        <v>Ms. Neha Verma</v>
      </c>
      <c r="C446">
        <f t="shared" ca="1" si="59"/>
        <v>53</v>
      </c>
      <c r="D446" t="str">
        <f t="shared" ca="1" si="60"/>
        <v>Male</v>
      </c>
      <c r="E446">
        <f t="shared" ca="1" si="61"/>
        <v>1406722</v>
      </c>
      <c r="F446">
        <f t="shared" ca="1" si="62"/>
        <v>2049406</v>
      </c>
      <c r="G446">
        <f t="shared" ca="1" si="63"/>
        <v>12</v>
      </c>
      <c r="H446">
        <f t="shared" ca="1" si="64"/>
        <v>595</v>
      </c>
      <c r="I446" t="str">
        <f t="shared" ca="1" si="65"/>
        <v>Salaried</v>
      </c>
      <c r="J446" t="str">
        <f t="shared" ca="1" si="66"/>
        <v>Home</v>
      </c>
      <c r="K446" t="str">
        <f t="shared" ca="1" si="67"/>
        <v>Approved</v>
      </c>
      <c r="L446">
        <f t="shared" si="54"/>
        <v>971</v>
      </c>
      <c r="M446">
        <f t="shared" ca="1" si="55"/>
        <v>612</v>
      </c>
      <c r="N446">
        <f t="shared" ca="1" si="56"/>
        <v>292</v>
      </c>
      <c r="O446" s="2">
        <f t="shared" ca="1" si="57"/>
        <v>0.63027806385169927</v>
      </c>
    </row>
    <row r="447" spans="1:15" x14ac:dyDescent="0.3">
      <c r="A447" s="3" t="s">
        <v>652</v>
      </c>
      <c r="B447" t="str">
        <f t="shared" ca="1" si="58"/>
        <v>Ms. Priya Sharma</v>
      </c>
      <c r="C447">
        <f t="shared" ca="1" si="59"/>
        <v>38</v>
      </c>
      <c r="D447" t="str">
        <f t="shared" ca="1" si="60"/>
        <v>Male</v>
      </c>
      <c r="E447">
        <f t="shared" ca="1" si="61"/>
        <v>1557206</v>
      </c>
      <c r="F447">
        <f t="shared" ca="1" si="62"/>
        <v>74787</v>
      </c>
      <c r="G447">
        <f t="shared" ca="1" si="63"/>
        <v>48</v>
      </c>
      <c r="H447">
        <f t="shared" ca="1" si="64"/>
        <v>644</v>
      </c>
      <c r="I447" t="str">
        <f t="shared" ca="1" si="65"/>
        <v>Salaried</v>
      </c>
      <c r="J447" t="str">
        <f t="shared" ca="1" si="66"/>
        <v>Personal</v>
      </c>
      <c r="K447" t="str">
        <f t="shared" ca="1" si="67"/>
        <v>Rejected</v>
      </c>
      <c r="L447">
        <f t="shared" si="54"/>
        <v>971</v>
      </c>
      <c r="M447">
        <f t="shared" ca="1" si="55"/>
        <v>612</v>
      </c>
      <c r="N447">
        <f t="shared" ca="1" si="56"/>
        <v>292</v>
      </c>
      <c r="O447" s="2">
        <f t="shared" ca="1" si="57"/>
        <v>0.63027806385169927</v>
      </c>
    </row>
    <row r="448" spans="1:15" x14ac:dyDescent="0.3">
      <c r="A448" s="3" t="s">
        <v>653</v>
      </c>
      <c r="B448" t="str">
        <f t="shared" ca="1" si="58"/>
        <v>Ms. Neha Verma</v>
      </c>
      <c r="C448">
        <f t="shared" ca="1" si="59"/>
        <v>29</v>
      </c>
      <c r="D448" t="str">
        <f t="shared" ca="1" si="60"/>
        <v>Female</v>
      </c>
      <c r="E448">
        <f t="shared" ca="1" si="61"/>
        <v>821682</v>
      </c>
      <c r="F448">
        <f t="shared" ca="1" si="62"/>
        <v>2444500</v>
      </c>
      <c r="G448">
        <f t="shared" ca="1" si="63"/>
        <v>72</v>
      </c>
      <c r="H448">
        <f t="shared" ca="1" si="64"/>
        <v>879</v>
      </c>
      <c r="I448" t="str">
        <f t="shared" ca="1" si="65"/>
        <v>Business</v>
      </c>
      <c r="J448" t="str">
        <f t="shared" ca="1" si="66"/>
        <v>Business</v>
      </c>
      <c r="K448" t="str">
        <f t="shared" ca="1" si="67"/>
        <v>Rejected</v>
      </c>
      <c r="L448">
        <f t="shared" si="54"/>
        <v>971</v>
      </c>
      <c r="M448">
        <f t="shared" ca="1" si="55"/>
        <v>612</v>
      </c>
      <c r="N448">
        <f t="shared" ca="1" si="56"/>
        <v>292</v>
      </c>
      <c r="O448" s="2">
        <f t="shared" ca="1" si="57"/>
        <v>0.63027806385169927</v>
      </c>
    </row>
    <row r="449" spans="1:15" x14ac:dyDescent="0.3">
      <c r="A449" s="3" t="s">
        <v>654</v>
      </c>
      <c r="B449" t="str">
        <f t="shared" ca="1" si="58"/>
        <v>Mr. Amit Das</v>
      </c>
      <c r="C449">
        <f t="shared" ca="1" si="59"/>
        <v>47</v>
      </c>
      <c r="D449" t="str">
        <f t="shared" ca="1" si="60"/>
        <v>Female</v>
      </c>
      <c r="E449">
        <f t="shared" ca="1" si="61"/>
        <v>1508282</v>
      </c>
      <c r="F449">
        <f t="shared" ca="1" si="62"/>
        <v>135491</v>
      </c>
      <c r="G449">
        <f t="shared" ca="1" si="63"/>
        <v>24</v>
      </c>
      <c r="H449">
        <f t="shared" ca="1" si="64"/>
        <v>318</v>
      </c>
      <c r="I449" t="str">
        <f t="shared" ca="1" si="65"/>
        <v>Freelancer</v>
      </c>
      <c r="J449" t="str">
        <f t="shared" ca="1" si="66"/>
        <v>Education</v>
      </c>
      <c r="K449" t="str">
        <f t="shared" ca="1" si="67"/>
        <v>Approved</v>
      </c>
      <c r="L449">
        <f t="shared" si="54"/>
        <v>971</v>
      </c>
      <c r="M449">
        <f t="shared" ca="1" si="55"/>
        <v>612</v>
      </c>
      <c r="N449">
        <f t="shared" ca="1" si="56"/>
        <v>292</v>
      </c>
      <c r="O449" s="2">
        <f t="shared" ca="1" si="57"/>
        <v>0.63027806385169927</v>
      </c>
    </row>
    <row r="450" spans="1:15" x14ac:dyDescent="0.3">
      <c r="A450" s="3" t="s">
        <v>655</v>
      </c>
      <c r="B450" t="str">
        <f t="shared" ca="1" si="58"/>
        <v>Mr. Amit Das</v>
      </c>
      <c r="C450">
        <f t="shared" ca="1" si="59"/>
        <v>59</v>
      </c>
      <c r="D450" t="str">
        <f t="shared" ca="1" si="60"/>
        <v>Male</v>
      </c>
      <c r="E450">
        <f t="shared" ca="1" si="61"/>
        <v>872061</v>
      </c>
      <c r="F450">
        <f t="shared" ca="1" si="62"/>
        <v>437510</v>
      </c>
      <c r="G450">
        <f t="shared" ca="1" si="63"/>
        <v>60</v>
      </c>
      <c r="H450">
        <f t="shared" ca="1" si="64"/>
        <v>797</v>
      </c>
      <c r="I450" t="str">
        <f t="shared" ca="1" si="65"/>
        <v>Self-Employed</v>
      </c>
      <c r="J450" t="str">
        <f t="shared" ca="1" si="66"/>
        <v>Personal</v>
      </c>
      <c r="K450" t="str">
        <f t="shared" ca="1" si="67"/>
        <v>Approved</v>
      </c>
      <c r="L450">
        <f t="shared" ref="L450:L513" si="68">COUNTA($A$2:$A$1001)</f>
        <v>971</v>
      </c>
      <c r="M450">
        <f t="shared" ca="1" si="55"/>
        <v>612</v>
      </c>
      <c r="N450">
        <f t="shared" ca="1" si="56"/>
        <v>292</v>
      </c>
      <c r="O450" s="2">
        <f t="shared" ca="1" si="57"/>
        <v>0.63027806385169927</v>
      </c>
    </row>
    <row r="451" spans="1:15" x14ac:dyDescent="0.3">
      <c r="A451" s="3" t="s">
        <v>656</v>
      </c>
      <c r="B451" t="str">
        <f t="shared" ca="1" si="58"/>
        <v>Mr. Arun Kumar</v>
      </c>
      <c r="C451">
        <f t="shared" ca="1" si="59"/>
        <v>25</v>
      </c>
      <c r="D451" t="str">
        <f t="shared" ca="1" si="60"/>
        <v>Male</v>
      </c>
      <c r="E451">
        <f t="shared" ca="1" si="61"/>
        <v>1704789</v>
      </c>
      <c r="F451">
        <f t="shared" ca="1" si="62"/>
        <v>1807749</v>
      </c>
      <c r="G451">
        <f t="shared" ca="1" si="63"/>
        <v>36</v>
      </c>
      <c r="H451">
        <f t="shared" ca="1" si="64"/>
        <v>656</v>
      </c>
      <c r="I451" t="str">
        <f t="shared" ca="1" si="65"/>
        <v>Salaried</v>
      </c>
      <c r="J451" t="str">
        <f t="shared" ca="1" si="66"/>
        <v>Education</v>
      </c>
      <c r="K451" t="str">
        <f t="shared" ca="1" si="67"/>
        <v>Approved</v>
      </c>
      <c r="L451">
        <f t="shared" si="68"/>
        <v>971</v>
      </c>
      <c r="M451">
        <f t="shared" ref="M451:M514" ca="1" si="69">COUNTIF($K$2:$K$1001,"Approved")</f>
        <v>612</v>
      </c>
      <c r="N451">
        <f t="shared" ref="N451:N514" ca="1" si="70">COUNTIF($K$2:$K$1001,"Rejected")</f>
        <v>292</v>
      </c>
      <c r="O451" s="2">
        <f t="shared" ref="O451:O514" ca="1" si="71">COUNTIF($K$2:$K$1001,"Approved") / COUNTA($A$2:$A$1001)</f>
        <v>0.63027806385169927</v>
      </c>
    </row>
    <row r="452" spans="1:15" x14ac:dyDescent="0.3">
      <c r="A452" s="3" t="s">
        <v>657</v>
      </c>
      <c r="B452" t="str">
        <f t="shared" ca="1" si="58"/>
        <v>Ms. Kajal Yadav</v>
      </c>
      <c r="C452">
        <f t="shared" ca="1" si="59"/>
        <v>32</v>
      </c>
      <c r="D452" t="str">
        <f t="shared" ca="1" si="60"/>
        <v>Female</v>
      </c>
      <c r="E452">
        <f t="shared" ca="1" si="61"/>
        <v>449220</v>
      </c>
      <c r="F452">
        <f t="shared" ca="1" si="62"/>
        <v>1532167</v>
      </c>
      <c r="G452">
        <f t="shared" ca="1" si="63"/>
        <v>24</v>
      </c>
      <c r="H452">
        <f t="shared" ca="1" si="64"/>
        <v>396</v>
      </c>
      <c r="I452" t="str">
        <f t="shared" ca="1" si="65"/>
        <v>Student</v>
      </c>
      <c r="J452" t="str">
        <f t="shared" ca="1" si="66"/>
        <v>Personal</v>
      </c>
      <c r="K452" t="str">
        <f t="shared" ca="1" si="67"/>
        <v>Approved</v>
      </c>
      <c r="L452">
        <f t="shared" si="68"/>
        <v>971</v>
      </c>
      <c r="M452">
        <f t="shared" ca="1" si="69"/>
        <v>612</v>
      </c>
      <c r="N452">
        <f t="shared" ca="1" si="70"/>
        <v>292</v>
      </c>
      <c r="O452" s="2">
        <f t="shared" ca="1" si="71"/>
        <v>0.63027806385169927</v>
      </c>
    </row>
    <row r="453" spans="1:15" x14ac:dyDescent="0.3">
      <c r="A453" s="3" t="s">
        <v>658</v>
      </c>
      <c r="B453" t="str">
        <f t="shared" ca="1" si="58"/>
        <v>Mr. Arun Kumar</v>
      </c>
      <c r="C453">
        <f t="shared" ca="1" si="59"/>
        <v>23</v>
      </c>
      <c r="D453" t="str">
        <f t="shared" ca="1" si="60"/>
        <v>Female</v>
      </c>
      <c r="E453">
        <f t="shared" ca="1" si="61"/>
        <v>351652</v>
      </c>
      <c r="F453">
        <f t="shared" ca="1" si="62"/>
        <v>2044756</v>
      </c>
      <c r="G453">
        <f t="shared" ca="1" si="63"/>
        <v>48</v>
      </c>
      <c r="H453">
        <f t="shared" ca="1" si="64"/>
        <v>804</v>
      </c>
      <c r="I453" t="str">
        <f t="shared" ca="1" si="65"/>
        <v>Freelancer</v>
      </c>
      <c r="J453" t="str">
        <f t="shared" ca="1" si="66"/>
        <v>Personal</v>
      </c>
      <c r="K453" t="str">
        <f t="shared" ca="1" si="67"/>
        <v>Approved</v>
      </c>
      <c r="L453">
        <f t="shared" si="68"/>
        <v>971</v>
      </c>
      <c r="M453">
        <f t="shared" ca="1" si="69"/>
        <v>612</v>
      </c>
      <c r="N453">
        <f t="shared" ca="1" si="70"/>
        <v>292</v>
      </c>
      <c r="O453" s="2">
        <f t="shared" ca="1" si="71"/>
        <v>0.63027806385169927</v>
      </c>
    </row>
    <row r="454" spans="1:15" x14ac:dyDescent="0.3">
      <c r="A454" s="3" t="s">
        <v>659</v>
      </c>
      <c r="B454" t="str">
        <f t="shared" ca="1" si="58"/>
        <v>Mr. Raj Kumar</v>
      </c>
      <c r="C454">
        <f t="shared" ca="1" si="59"/>
        <v>59</v>
      </c>
      <c r="D454" t="str">
        <f t="shared" ca="1" si="60"/>
        <v>Male</v>
      </c>
      <c r="E454">
        <f t="shared" ca="1" si="61"/>
        <v>542955</v>
      </c>
      <c r="F454">
        <f t="shared" ca="1" si="62"/>
        <v>840566</v>
      </c>
      <c r="G454">
        <f t="shared" ca="1" si="63"/>
        <v>12</v>
      </c>
      <c r="H454">
        <f t="shared" ca="1" si="64"/>
        <v>889</v>
      </c>
      <c r="I454" t="str">
        <f t="shared" ca="1" si="65"/>
        <v>Student</v>
      </c>
      <c r="J454" t="str">
        <f t="shared" ca="1" si="66"/>
        <v>Business</v>
      </c>
      <c r="K454" t="str">
        <f t="shared" ca="1" si="67"/>
        <v>Approved</v>
      </c>
      <c r="L454">
        <f t="shared" si="68"/>
        <v>971</v>
      </c>
      <c r="M454">
        <f t="shared" ca="1" si="69"/>
        <v>612</v>
      </c>
      <c r="N454">
        <f t="shared" ca="1" si="70"/>
        <v>292</v>
      </c>
      <c r="O454" s="2">
        <f t="shared" ca="1" si="71"/>
        <v>0.63027806385169927</v>
      </c>
    </row>
    <row r="455" spans="1:15" x14ac:dyDescent="0.3">
      <c r="A455" s="3" t="s">
        <v>660</v>
      </c>
      <c r="B455" t="str">
        <f t="shared" ca="1" si="58"/>
        <v>Mr. Raj Kumar</v>
      </c>
      <c r="C455">
        <f t="shared" ca="1" si="59"/>
        <v>46</v>
      </c>
      <c r="D455" t="str">
        <f t="shared" ca="1" si="60"/>
        <v>Male</v>
      </c>
      <c r="E455">
        <f t="shared" ca="1" si="61"/>
        <v>1833289</v>
      </c>
      <c r="F455">
        <f t="shared" ca="1" si="62"/>
        <v>1299869</v>
      </c>
      <c r="G455">
        <f t="shared" ca="1" si="63"/>
        <v>48</v>
      </c>
      <c r="H455">
        <f t="shared" ca="1" si="64"/>
        <v>305</v>
      </c>
      <c r="I455" t="str">
        <f t="shared" ca="1" si="65"/>
        <v>Business</v>
      </c>
      <c r="J455" t="str">
        <f t="shared" ca="1" si="66"/>
        <v>Personal</v>
      </c>
      <c r="K455" t="str">
        <f t="shared" ca="1" si="67"/>
        <v>Rejected</v>
      </c>
      <c r="L455">
        <f t="shared" si="68"/>
        <v>971</v>
      </c>
      <c r="M455">
        <f t="shared" ca="1" si="69"/>
        <v>612</v>
      </c>
      <c r="N455">
        <f t="shared" ca="1" si="70"/>
        <v>292</v>
      </c>
      <c r="O455" s="2">
        <f t="shared" ca="1" si="71"/>
        <v>0.63027806385169927</v>
      </c>
    </row>
    <row r="456" spans="1:15" x14ac:dyDescent="0.3">
      <c r="A456" s="3" t="s">
        <v>661</v>
      </c>
      <c r="B456" t="str">
        <f t="shared" ca="1" si="58"/>
        <v>Ms. Neha Verma</v>
      </c>
      <c r="C456">
        <f t="shared" ca="1" si="59"/>
        <v>41</v>
      </c>
      <c r="D456" t="str">
        <f t="shared" ca="1" si="60"/>
        <v>Male</v>
      </c>
      <c r="E456">
        <f t="shared" ca="1" si="61"/>
        <v>1694266</v>
      </c>
      <c r="F456">
        <f t="shared" ca="1" si="62"/>
        <v>1842659</v>
      </c>
      <c r="G456">
        <f t="shared" ca="1" si="63"/>
        <v>48</v>
      </c>
      <c r="H456">
        <f t="shared" ca="1" si="64"/>
        <v>760</v>
      </c>
      <c r="I456" t="str">
        <f t="shared" ca="1" si="65"/>
        <v>Freelancer</v>
      </c>
      <c r="J456" t="str">
        <f t="shared" ca="1" si="66"/>
        <v>Home</v>
      </c>
      <c r="K456" t="str">
        <f t="shared" ca="1" si="67"/>
        <v>Approved</v>
      </c>
      <c r="L456">
        <f t="shared" si="68"/>
        <v>971</v>
      </c>
      <c r="M456">
        <f t="shared" ca="1" si="69"/>
        <v>612</v>
      </c>
      <c r="N456">
        <f t="shared" ca="1" si="70"/>
        <v>292</v>
      </c>
      <c r="O456" s="2">
        <f t="shared" ca="1" si="71"/>
        <v>0.63027806385169927</v>
      </c>
    </row>
    <row r="457" spans="1:15" x14ac:dyDescent="0.3">
      <c r="A457" s="3" t="s">
        <v>662</v>
      </c>
      <c r="B457" t="str">
        <f t="shared" ca="1" si="58"/>
        <v>Ms. Kajal Yadav</v>
      </c>
      <c r="C457">
        <f t="shared" ca="1" si="59"/>
        <v>46</v>
      </c>
      <c r="D457" t="str">
        <f t="shared" ca="1" si="60"/>
        <v>Female</v>
      </c>
      <c r="E457">
        <f t="shared" ca="1" si="61"/>
        <v>1459234</v>
      </c>
      <c r="F457">
        <f t="shared" ca="1" si="62"/>
        <v>1471747</v>
      </c>
      <c r="G457">
        <f t="shared" ca="1" si="63"/>
        <v>36</v>
      </c>
      <c r="H457">
        <f t="shared" ca="1" si="64"/>
        <v>688</v>
      </c>
      <c r="I457" t="str">
        <f t="shared" ca="1" si="65"/>
        <v>Contract-Based</v>
      </c>
      <c r="J457" t="str">
        <f t="shared" ca="1" si="66"/>
        <v>Education</v>
      </c>
      <c r="K457" t="str">
        <f t="shared" ca="1" si="67"/>
        <v>Approved</v>
      </c>
      <c r="L457">
        <f t="shared" si="68"/>
        <v>971</v>
      </c>
      <c r="M457">
        <f t="shared" ca="1" si="69"/>
        <v>612</v>
      </c>
      <c r="N457">
        <f t="shared" ca="1" si="70"/>
        <v>292</v>
      </c>
      <c r="O457" s="2">
        <f t="shared" ca="1" si="71"/>
        <v>0.63027806385169927</v>
      </c>
    </row>
    <row r="458" spans="1:15" x14ac:dyDescent="0.3">
      <c r="A458" s="3" t="s">
        <v>663</v>
      </c>
      <c r="B458" t="str">
        <f t="shared" ca="1" si="58"/>
        <v>Mr. Rohan Gupta</v>
      </c>
      <c r="C458">
        <f t="shared" ca="1" si="59"/>
        <v>56</v>
      </c>
      <c r="D458" t="str">
        <f t="shared" ca="1" si="60"/>
        <v>Male</v>
      </c>
      <c r="E458">
        <f t="shared" ca="1" si="61"/>
        <v>1242743</v>
      </c>
      <c r="F458">
        <f t="shared" ca="1" si="62"/>
        <v>1785152</v>
      </c>
      <c r="G458">
        <f t="shared" ca="1" si="63"/>
        <v>48</v>
      </c>
      <c r="H458">
        <f t="shared" ca="1" si="64"/>
        <v>662</v>
      </c>
      <c r="I458" t="str">
        <f t="shared" ca="1" si="65"/>
        <v>Freelancer</v>
      </c>
      <c r="J458" t="str">
        <f t="shared" ca="1" si="66"/>
        <v>Personal</v>
      </c>
      <c r="K458" t="str">
        <f t="shared" ca="1" si="67"/>
        <v>Rejected</v>
      </c>
      <c r="L458">
        <f t="shared" si="68"/>
        <v>971</v>
      </c>
      <c r="M458">
        <f t="shared" ca="1" si="69"/>
        <v>612</v>
      </c>
      <c r="N458">
        <f t="shared" ca="1" si="70"/>
        <v>292</v>
      </c>
      <c r="O458" s="2">
        <f t="shared" ca="1" si="71"/>
        <v>0.63027806385169927</v>
      </c>
    </row>
    <row r="459" spans="1:15" x14ac:dyDescent="0.3">
      <c r="A459" s="3" t="s">
        <v>664</v>
      </c>
      <c r="B459" t="str">
        <f t="shared" ref="B459:B522" ca="1" si="72">CHOOSE(RANDBETWEEN(1,10),
"Mr. Raj Kumar","Ms. Priya Sharma","Mr. Amit Das","Ms. Anjali Singh","Mr. Rohan Gupta",
"Ms. Neha Verma","Mr. Suresh Rao","Ms. Pooja Patel","Mr. Arun Kumar","Ms. Kajal Yadav")</f>
        <v>Ms. Priya Sharma</v>
      </c>
      <c r="C459">
        <f t="shared" ref="C459:C522" ca="1" si="73">RANDBETWEEN(21,65)</f>
        <v>54</v>
      </c>
      <c r="D459" t="str">
        <f t="shared" ref="D459:D522" ca="1" si="74">IF(LEFT(B259,3)="Mr.","Male","Female")</f>
        <v>Male</v>
      </c>
      <c r="E459">
        <f t="shared" ref="E459:E522" ca="1" si="75">RANDBETWEEN(200000,2000000)</f>
        <v>1727175</v>
      </c>
      <c r="F459">
        <f t="shared" ref="F459:F522" ca="1" si="76">RANDBETWEEN(50000,2500000)</f>
        <v>373088</v>
      </c>
      <c r="G459">
        <f t="shared" ref="G459:G522" ca="1" si="77">CHOOSE(RANDBETWEEN(1,7),12,24,36,48,60,72,84)</f>
        <v>72</v>
      </c>
      <c r="H459">
        <f t="shared" ref="H459:H522" ca="1" si="78">RANDBETWEEN(300,900)</f>
        <v>402</v>
      </c>
      <c r="I459" t="str">
        <f t="shared" ref="I459:I522" ca="1" si="79">CHOOSE(RANDBETWEEN(1,6),
"Salaried","Self-Employed","Business","Freelancer","Student","Contract-Based")</f>
        <v>Student</v>
      </c>
      <c r="J459" t="str">
        <f t="shared" ref="J459:J522" ca="1" si="80">CHOOSE(RANDBETWEEN(1,5),
"Home","Car","Education","Business","Personal")</f>
        <v>Home</v>
      </c>
      <c r="K459" t="str">
        <f t="shared" ref="K459:K522" ca="1" si="81">IF(RANDBETWEEN(1,100)&lt;=70,"Approved","Rejected")</f>
        <v>Approved</v>
      </c>
      <c r="L459">
        <f t="shared" si="68"/>
        <v>971</v>
      </c>
      <c r="M459">
        <f t="shared" ca="1" si="69"/>
        <v>612</v>
      </c>
      <c r="N459">
        <f t="shared" ca="1" si="70"/>
        <v>292</v>
      </c>
      <c r="O459" s="2">
        <f t="shared" ca="1" si="71"/>
        <v>0.63027806385169927</v>
      </c>
    </row>
    <row r="460" spans="1:15" x14ac:dyDescent="0.3">
      <c r="A460" s="3" t="s">
        <v>665</v>
      </c>
      <c r="B460" t="str">
        <f t="shared" ca="1" si="72"/>
        <v>Mr. Amit Das</v>
      </c>
      <c r="C460">
        <f t="shared" ca="1" si="73"/>
        <v>43</v>
      </c>
      <c r="D460" t="str">
        <f t="shared" ca="1" si="74"/>
        <v>Male</v>
      </c>
      <c r="E460">
        <f t="shared" ca="1" si="75"/>
        <v>1137907</v>
      </c>
      <c r="F460">
        <f t="shared" ca="1" si="76"/>
        <v>1772366</v>
      </c>
      <c r="G460">
        <f t="shared" ca="1" si="77"/>
        <v>36</v>
      </c>
      <c r="H460">
        <f t="shared" ca="1" si="78"/>
        <v>405</v>
      </c>
      <c r="I460" t="str">
        <f t="shared" ca="1" si="79"/>
        <v>Freelancer</v>
      </c>
      <c r="J460" t="str">
        <f t="shared" ca="1" si="80"/>
        <v>Education</v>
      </c>
      <c r="K460" t="str">
        <f t="shared" ca="1" si="81"/>
        <v>Rejected</v>
      </c>
      <c r="L460">
        <f t="shared" si="68"/>
        <v>971</v>
      </c>
      <c r="M460">
        <f t="shared" ca="1" si="69"/>
        <v>612</v>
      </c>
      <c r="N460">
        <f t="shared" ca="1" si="70"/>
        <v>292</v>
      </c>
      <c r="O460" s="2">
        <f t="shared" ca="1" si="71"/>
        <v>0.63027806385169927</v>
      </c>
    </row>
    <row r="461" spans="1:15" x14ac:dyDescent="0.3">
      <c r="A461" s="3" t="s">
        <v>666</v>
      </c>
      <c r="B461" t="str">
        <f t="shared" ca="1" si="72"/>
        <v>Mr. Rohan Gupta</v>
      </c>
      <c r="C461">
        <f t="shared" ca="1" si="73"/>
        <v>25</v>
      </c>
      <c r="D461" t="str">
        <f t="shared" ca="1" si="74"/>
        <v>Male</v>
      </c>
      <c r="E461">
        <f t="shared" ca="1" si="75"/>
        <v>862625</v>
      </c>
      <c r="F461">
        <f t="shared" ca="1" si="76"/>
        <v>1488003</v>
      </c>
      <c r="G461">
        <f t="shared" ca="1" si="77"/>
        <v>24</v>
      </c>
      <c r="H461">
        <f t="shared" ca="1" si="78"/>
        <v>570</v>
      </c>
      <c r="I461" t="str">
        <f t="shared" ca="1" si="79"/>
        <v>Salaried</v>
      </c>
      <c r="J461" t="str">
        <f t="shared" ca="1" si="80"/>
        <v>Education</v>
      </c>
      <c r="K461" t="str">
        <f t="shared" ca="1" si="81"/>
        <v>Approved</v>
      </c>
      <c r="L461">
        <f t="shared" si="68"/>
        <v>971</v>
      </c>
      <c r="M461">
        <f t="shared" ca="1" si="69"/>
        <v>612</v>
      </c>
      <c r="N461">
        <f t="shared" ca="1" si="70"/>
        <v>292</v>
      </c>
      <c r="O461" s="2">
        <f t="shared" ca="1" si="71"/>
        <v>0.63027806385169927</v>
      </c>
    </row>
    <row r="462" spans="1:15" x14ac:dyDescent="0.3">
      <c r="A462" s="3" t="s">
        <v>667</v>
      </c>
      <c r="B462" t="str">
        <f t="shared" ca="1" si="72"/>
        <v>Mr. Arun Kumar</v>
      </c>
      <c r="C462">
        <f t="shared" ca="1" si="73"/>
        <v>32</v>
      </c>
      <c r="D462" t="str">
        <f t="shared" ca="1" si="74"/>
        <v>Female</v>
      </c>
      <c r="E462">
        <f t="shared" ca="1" si="75"/>
        <v>292534</v>
      </c>
      <c r="F462">
        <f t="shared" ca="1" si="76"/>
        <v>418567</v>
      </c>
      <c r="G462">
        <f t="shared" ca="1" si="77"/>
        <v>24</v>
      </c>
      <c r="H462">
        <f t="shared" ca="1" si="78"/>
        <v>402</v>
      </c>
      <c r="I462" t="str">
        <f t="shared" ca="1" si="79"/>
        <v>Business</v>
      </c>
      <c r="J462" t="str">
        <f t="shared" ca="1" si="80"/>
        <v>Home</v>
      </c>
      <c r="K462" t="str">
        <f t="shared" ca="1" si="81"/>
        <v>Approved</v>
      </c>
      <c r="L462">
        <f t="shared" si="68"/>
        <v>971</v>
      </c>
      <c r="M462">
        <f t="shared" ca="1" si="69"/>
        <v>612</v>
      </c>
      <c r="N462">
        <f t="shared" ca="1" si="70"/>
        <v>292</v>
      </c>
      <c r="O462" s="2">
        <f t="shared" ca="1" si="71"/>
        <v>0.63027806385169927</v>
      </c>
    </row>
    <row r="463" spans="1:15" x14ac:dyDescent="0.3">
      <c r="A463" s="3" t="s">
        <v>668</v>
      </c>
      <c r="B463" t="str">
        <f t="shared" ca="1" si="72"/>
        <v>Mr. Rohan Gupta</v>
      </c>
      <c r="C463">
        <f t="shared" ca="1" si="73"/>
        <v>45</v>
      </c>
      <c r="D463" t="str">
        <f t="shared" ca="1" si="74"/>
        <v>Male</v>
      </c>
      <c r="E463">
        <f t="shared" ca="1" si="75"/>
        <v>1096198</v>
      </c>
      <c r="F463">
        <f t="shared" ca="1" si="76"/>
        <v>1100542</v>
      </c>
      <c r="G463">
        <f t="shared" ca="1" si="77"/>
        <v>60</v>
      </c>
      <c r="H463">
        <f t="shared" ca="1" si="78"/>
        <v>623</v>
      </c>
      <c r="I463" t="str">
        <f t="shared" ca="1" si="79"/>
        <v>Business</v>
      </c>
      <c r="J463" t="str">
        <f t="shared" ca="1" si="80"/>
        <v>Personal</v>
      </c>
      <c r="K463" t="str">
        <f t="shared" ca="1" si="81"/>
        <v>Approved</v>
      </c>
      <c r="L463">
        <f t="shared" si="68"/>
        <v>971</v>
      </c>
      <c r="M463">
        <f t="shared" ca="1" si="69"/>
        <v>612</v>
      </c>
      <c r="N463">
        <f t="shared" ca="1" si="70"/>
        <v>292</v>
      </c>
      <c r="O463" s="2">
        <f t="shared" ca="1" si="71"/>
        <v>0.63027806385169927</v>
      </c>
    </row>
    <row r="464" spans="1:15" x14ac:dyDescent="0.3">
      <c r="A464" s="3" t="s">
        <v>669</v>
      </c>
      <c r="B464" t="str">
        <f t="shared" ca="1" si="72"/>
        <v>Ms. Kajal Yadav</v>
      </c>
      <c r="C464">
        <f t="shared" ca="1" si="73"/>
        <v>60</v>
      </c>
      <c r="D464" t="str">
        <f t="shared" ca="1" si="74"/>
        <v>Male</v>
      </c>
      <c r="E464">
        <f t="shared" ca="1" si="75"/>
        <v>852292</v>
      </c>
      <c r="F464">
        <f t="shared" ca="1" si="76"/>
        <v>2161570</v>
      </c>
      <c r="G464">
        <f t="shared" ca="1" si="77"/>
        <v>36</v>
      </c>
      <c r="H464">
        <f t="shared" ca="1" si="78"/>
        <v>356</v>
      </c>
      <c r="I464" t="str">
        <f t="shared" ca="1" si="79"/>
        <v>Student</v>
      </c>
      <c r="J464" t="str">
        <f t="shared" ca="1" si="80"/>
        <v>Home</v>
      </c>
      <c r="K464" t="str">
        <f t="shared" ca="1" si="81"/>
        <v>Approved</v>
      </c>
      <c r="L464">
        <f t="shared" si="68"/>
        <v>971</v>
      </c>
      <c r="M464">
        <f t="shared" ca="1" si="69"/>
        <v>612</v>
      </c>
      <c r="N464">
        <f t="shared" ca="1" si="70"/>
        <v>292</v>
      </c>
      <c r="O464" s="2">
        <f t="shared" ca="1" si="71"/>
        <v>0.63027806385169927</v>
      </c>
    </row>
    <row r="465" spans="1:15" x14ac:dyDescent="0.3">
      <c r="A465" s="3" t="s">
        <v>670</v>
      </c>
      <c r="B465" t="str">
        <f t="shared" ca="1" si="72"/>
        <v>Ms. Priya Sharma</v>
      </c>
      <c r="C465">
        <f t="shared" ca="1" si="73"/>
        <v>65</v>
      </c>
      <c r="D465" t="str">
        <f t="shared" ca="1" si="74"/>
        <v>Male</v>
      </c>
      <c r="E465">
        <f t="shared" ca="1" si="75"/>
        <v>1354584</v>
      </c>
      <c r="F465">
        <f t="shared" ca="1" si="76"/>
        <v>1883530</v>
      </c>
      <c r="G465">
        <f t="shared" ca="1" si="77"/>
        <v>12</v>
      </c>
      <c r="H465">
        <f t="shared" ca="1" si="78"/>
        <v>503</v>
      </c>
      <c r="I465" t="str">
        <f t="shared" ca="1" si="79"/>
        <v>Freelancer</v>
      </c>
      <c r="J465" t="str">
        <f t="shared" ca="1" si="80"/>
        <v>Home</v>
      </c>
      <c r="K465" t="str">
        <f t="shared" ca="1" si="81"/>
        <v>Rejected</v>
      </c>
      <c r="L465">
        <f t="shared" si="68"/>
        <v>971</v>
      </c>
      <c r="M465">
        <f t="shared" ca="1" si="69"/>
        <v>612</v>
      </c>
      <c r="N465">
        <f t="shared" ca="1" si="70"/>
        <v>292</v>
      </c>
      <c r="O465" s="2">
        <f t="shared" ca="1" si="71"/>
        <v>0.63027806385169927</v>
      </c>
    </row>
    <row r="466" spans="1:15" x14ac:dyDescent="0.3">
      <c r="A466" s="3" t="s">
        <v>671</v>
      </c>
      <c r="B466" t="str">
        <f t="shared" ca="1" si="72"/>
        <v>Ms. Priya Sharma</v>
      </c>
      <c r="C466">
        <f t="shared" ca="1" si="73"/>
        <v>50</v>
      </c>
      <c r="D466" t="str">
        <f t="shared" ca="1" si="74"/>
        <v>Female</v>
      </c>
      <c r="E466">
        <f t="shared" ca="1" si="75"/>
        <v>1750783</v>
      </c>
      <c r="F466">
        <f t="shared" ca="1" si="76"/>
        <v>1465487</v>
      </c>
      <c r="G466">
        <f t="shared" ca="1" si="77"/>
        <v>72</v>
      </c>
      <c r="H466">
        <f t="shared" ca="1" si="78"/>
        <v>764</v>
      </c>
      <c r="I466" t="str">
        <f t="shared" ca="1" si="79"/>
        <v>Freelancer</v>
      </c>
      <c r="J466" t="str">
        <f t="shared" ca="1" si="80"/>
        <v>Business</v>
      </c>
      <c r="K466" t="str">
        <f t="shared" ca="1" si="81"/>
        <v>Approved</v>
      </c>
      <c r="L466">
        <f t="shared" si="68"/>
        <v>971</v>
      </c>
      <c r="M466">
        <f t="shared" ca="1" si="69"/>
        <v>612</v>
      </c>
      <c r="N466">
        <f t="shared" ca="1" si="70"/>
        <v>292</v>
      </c>
      <c r="O466" s="2">
        <f t="shared" ca="1" si="71"/>
        <v>0.63027806385169927</v>
      </c>
    </row>
    <row r="467" spans="1:15" x14ac:dyDescent="0.3">
      <c r="A467" s="3" t="s">
        <v>672</v>
      </c>
      <c r="B467" t="str">
        <f t="shared" ca="1" si="72"/>
        <v>Ms. Kajal Yadav</v>
      </c>
      <c r="C467">
        <f t="shared" ca="1" si="73"/>
        <v>32</v>
      </c>
      <c r="D467" t="str">
        <f t="shared" ca="1" si="74"/>
        <v>Female</v>
      </c>
      <c r="E467">
        <f t="shared" ca="1" si="75"/>
        <v>1616276</v>
      </c>
      <c r="F467">
        <f t="shared" ca="1" si="76"/>
        <v>413599</v>
      </c>
      <c r="G467">
        <f t="shared" ca="1" si="77"/>
        <v>36</v>
      </c>
      <c r="H467">
        <f t="shared" ca="1" si="78"/>
        <v>480</v>
      </c>
      <c r="I467" t="str">
        <f t="shared" ca="1" si="79"/>
        <v>Salaried</v>
      </c>
      <c r="J467" t="str">
        <f t="shared" ca="1" si="80"/>
        <v>Car</v>
      </c>
      <c r="K467" t="str">
        <f t="shared" ca="1" si="81"/>
        <v>Approved</v>
      </c>
      <c r="L467">
        <f t="shared" si="68"/>
        <v>971</v>
      </c>
      <c r="M467">
        <f t="shared" ca="1" si="69"/>
        <v>612</v>
      </c>
      <c r="N467">
        <f t="shared" ca="1" si="70"/>
        <v>292</v>
      </c>
      <c r="O467" s="2">
        <f t="shared" ca="1" si="71"/>
        <v>0.63027806385169927</v>
      </c>
    </row>
    <row r="468" spans="1:15" x14ac:dyDescent="0.3">
      <c r="A468" s="3" t="s">
        <v>673</v>
      </c>
      <c r="B468" t="str">
        <f t="shared" ca="1" si="72"/>
        <v>Ms. Neha Verma</v>
      </c>
      <c r="C468">
        <f t="shared" ca="1" si="73"/>
        <v>38</v>
      </c>
      <c r="D468" t="str">
        <f t="shared" ca="1" si="74"/>
        <v>Male</v>
      </c>
      <c r="E468">
        <f t="shared" ca="1" si="75"/>
        <v>474915</v>
      </c>
      <c r="F468">
        <f t="shared" ca="1" si="76"/>
        <v>808168</v>
      </c>
      <c r="G468">
        <f t="shared" ca="1" si="77"/>
        <v>12</v>
      </c>
      <c r="H468">
        <f t="shared" ca="1" si="78"/>
        <v>484</v>
      </c>
      <c r="I468" t="str">
        <f t="shared" ca="1" si="79"/>
        <v>Student</v>
      </c>
      <c r="J468" t="str">
        <f t="shared" ca="1" si="80"/>
        <v>Car</v>
      </c>
      <c r="K468" t="str">
        <f t="shared" ca="1" si="81"/>
        <v>Approved</v>
      </c>
      <c r="L468">
        <f t="shared" si="68"/>
        <v>971</v>
      </c>
      <c r="M468">
        <f t="shared" ca="1" si="69"/>
        <v>612</v>
      </c>
      <c r="N468">
        <f t="shared" ca="1" si="70"/>
        <v>292</v>
      </c>
      <c r="O468" s="2">
        <f t="shared" ca="1" si="71"/>
        <v>0.63027806385169927</v>
      </c>
    </row>
    <row r="469" spans="1:15" x14ac:dyDescent="0.3">
      <c r="A469" s="3" t="s">
        <v>674</v>
      </c>
      <c r="B469" t="str">
        <f t="shared" ca="1" si="72"/>
        <v>Ms. Neha Verma</v>
      </c>
      <c r="C469">
        <f t="shared" ca="1" si="73"/>
        <v>58</v>
      </c>
      <c r="D469" t="str">
        <f t="shared" ca="1" si="74"/>
        <v>Female</v>
      </c>
      <c r="E469">
        <f t="shared" ca="1" si="75"/>
        <v>911142</v>
      </c>
      <c r="F469">
        <f t="shared" ca="1" si="76"/>
        <v>2309658</v>
      </c>
      <c r="G469">
        <f t="shared" ca="1" si="77"/>
        <v>72</v>
      </c>
      <c r="H469">
        <f t="shared" ca="1" si="78"/>
        <v>559</v>
      </c>
      <c r="I469" t="str">
        <f t="shared" ca="1" si="79"/>
        <v>Freelancer</v>
      </c>
      <c r="J469" t="str">
        <f t="shared" ca="1" si="80"/>
        <v>Car</v>
      </c>
      <c r="K469" t="str">
        <f t="shared" ca="1" si="81"/>
        <v>Rejected</v>
      </c>
      <c r="L469">
        <f t="shared" si="68"/>
        <v>971</v>
      </c>
      <c r="M469">
        <f t="shared" ca="1" si="69"/>
        <v>612</v>
      </c>
      <c r="N469">
        <f t="shared" ca="1" si="70"/>
        <v>292</v>
      </c>
      <c r="O469" s="2">
        <f t="shared" ca="1" si="71"/>
        <v>0.63027806385169927</v>
      </c>
    </row>
    <row r="470" spans="1:15" x14ac:dyDescent="0.3">
      <c r="A470" s="3" t="s">
        <v>675</v>
      </c>
      <c r="B470" t="str">
        <f t="shared" ca="1" si="72"/>
        <v>Ms. Kajal Yadav</v>
      </c>
      <c r="C470">
        <f t="shared" ca="1" si="73"/>
        <v>34</v>
      </c>
      <c r="D470" t="str">
        <f t="shared" ca="1" si="74"/>
        <v>Female</v>
      </c>
      <c r="E470">
        <f t="shared" ca="1" si="75"/>
        <v>1846822</v>
      </c>
      <c r="F470">
        <f t="shared" ca="1" si="76"/>
        <v>1115972</v>
      </c>
      <c r="G470">
        <f t="shared" ca="1" si="77"/>
        <v>84</v>
      </c>
      <c r="H470">
        <f t="shared" ca="1" si="78"/>
        <v>614</v>
      </c>
      <c r="I470" t="str">
        <f t="shared" ca="1" si="79"/>
        <v>Salaried</v>
      </c>
      <c r="J470" t="str">
        <f t="shared" ca="1" si="80"/>
        <v>Business</v>
      </c>
      <c r="K470" t="str">
        <f t="shared" ca="1" si="81"/>
        <v>Approved</v>
      </c>
      <c r="L470">
        <f t="shared" si="68"/>
        <v>971</v>
      </c>
      <c r="M470">
        <f t="shared" ca="1" si="69"/>
        <v>612</v>
      </c>
      <c r="N470">
        <f t="shared" ca="1" si="70"/>
        <v>292</v>
      </c>
      <c r="O470" s="2">
        <f t="shared" ca="1" si="71"/>
        <v>0.63027806385169927</v>
      </c>
    </row>
    <row r="471" spans="1:15" x14ac:dyDescent="0.3">
      <c r="A471" s="3" t="s">
        <v>676</v>
      </c>
      <c r="B471" t="str">
        <f t="shared" ca="1" si="72"/>
        <v>Ms. Pooja Patel</v>
      </c>
      <c r="C471">
        <f t="shared" ca="1" si="73"/>
        <v>41</v>
      </c>
      <c r="D471" t="str">
        <f t="shared" ca="1" si="74"/>
        <v>Male</v>
      </c>
      <c r="E471">
        <f t="shared" ca="1" si="75"/>
        <v>1640737</v>
      </c>
      <c r="F471">
        <f t="shared" ca="1" si="76"/>
        <v>1739765</v>
      </c>
      <c r="G471">
        <f t="shared" ca="1" si="77"/>
        <v>12</v>
      </c>
      <c r="H471">
        <f t="shared" ca="1" si="78"/>
        <v>525</v>
      </c>
      <c r="I471" t="str">
        <f t="shared" ca="1" si="79"/>
        <v>Self-Employed</v>
      </c>
      <c r="J471" t="str">
        <f t="shared" ca="1" si="80"/>
        <v>Education</v>
      </c>
      <c r="K471" t="str">
        <f t="shared" ca="1" si="81"/>
        <v>Approved</v>
      </c>
      <c r="L471">
        <f t="shared" si="68"/>
        <v>971</v>
      </c>
      <c r="M471">
        <f t="shared" ca="1" si="69"/>
        <v>612</v>
      </c>
      <c r="N471">
        <f t="shared" ca="1" si="70"/>
        <v>292</v>
      </c>
      <c r="O471" s="2">
        <f t="shared" ca="1" si="71"/>
        <v>0.63027806385169927</v>
      </c>
    </row>
    <row r="472" spans="1:15" x14ac:dyDescent="0.3">
      <c r="A472" s="3" t="s">
        <v>677</v>
      </c>
      <c r="B472" t="str">
        <f t="shared" ca="1" si="72"/>
        <v>Mr. Amit Das</v>
      </c>
      <c r="C472">
        <f t="shared" ca="1" si="73"/>
        <v>27</v>
      </c>
      <c r="D472" t="str">
        <f t="shared" ca="1" si="74"/>
        <v>Female</v>
      </c>
      <c r="E472">
        <f t="shared" ca="1" si="75"/>
        <v>742039</v>
      </c>
      <c r="F472">
        <f t="shared" ca="1" si="76"/>
        <v>1018094</v>
      </c>
      <c r="G472">
        <f t="shared" ca="1" si="77"/>
        <v>60</v>
      </c>
      <c r="H472">
        <f t="shared" ca="1" si="78"/>
        <v>564</v>
      </c>
      <c r="I472" t="str">
        <f t="shared" ca="1" si="79"/>
        <v>Contract-Based</v>
      </c>
      <c r="J472" t="str">
        <f t="shared" ca="1" si="80"/>
        <v>Education</v>
      </c>
      <c r="K472" t="str">
        <f t="shared" ca="1" si="81"/>
        <v>Approved</v>
      </c>
      <c r="L472">
        <f t="shared" si="68"/>
        <v>971</v>
      </c>
      <c r="M472">
        <f t="shared" ca="1" si="69"/>
        <v>612</v>
      </c>
      <c r="N472">
        <f t="shared" ca="1" si="70"/>
        <v>292</v>
      </c>
      <c r="O472" s="2">
        <f t="shared" ca="1" si="71"/>
        <v>0.63027806385169927</v>
      </c>
    </row>
    <row r="473" spans="1:15" x14ac:dyDescent="0.3">
      <c r="A473" s="3" t="s">
        <v>678</v>
      </c>
      <c r="B473" t="str">
        <f t="shared" ca="1" si="72"/>
        <v>Mr. Arun Kumar</v>
      </c>
      <c r="C473">
        <f t="shared" ca="1" si="73"/>
        <v>63</v>
      </c>
      <c r="D473" t="str">
        <f t="shared" ca="1" si="74"/>
        <v>Male</v>
      </c>
      <c r="E473">
        <f t="shared" ca="1" si="75"/>
        <v>1558565</v>
      </c>
      <c r="F473">
        <f t="shared" ca="1" si="76"/>
        <v>1233839</v>
      </c>
      <c r="G473">
        <f t="shared" ca="1" si="77"/>
        <v>72</v>
      </c>
      <c r="H473">
        <f t="shared" ca="1" si="78"/>
        <v>661</v>
      </c>
      <c r="I473" t="str">
        <f t="shared" ca="1" si="79"/>
        <v>Student</v>
      </c>
      <c r="J473" t="str">
        <f t="shared" ca="1" si="80"/>
        <v>Home</v>
      </c>
      <c r="K473" t="str">
        <f t="shared" ca="1" si="81"/>
        <v>Rejected</v>
      </c>
      <c r="L473">
        <f t="shared" si="68"/>
        <v>971</v>
      </c>
      <c r="M473">
        <f t="shared" ca="1" si="69"/>
        <v>612</v>
      </c>
      <c r="N473">
        <f t="shared" ca="1" si="70"/>
        <v>292</v>
      </c>
      <c r="O473" s="2">
        <f t="shared" ca="1" si="71"/>
        <v>0.63027806385169927</v>
      </c>
    </row>
    <row r="474" spans="1:15" x14ac:dyDescent="0.3">
      <c r="A474" s="3" t="s">
        <v>679</v>
      </c>
      <c r="B474" t="str">
        <f t="shared" ca="1" si="72"/>
        <v>Ms. Neha Verma</v>
      </c>
      <c r="C474">
        <f t="shared" ca="1" si="73"/>
        <v>37</v>
      </c>
      <c r="D474" t="str">
        <f t="shared" ca="1" si="74"/>
        <v>Female</v>
      </c>
      <c r="E474">
        <f t="shared" ca="1" si="75"/>
        <v>1195011</v>
      </c>
      <c r="F474">
        <f t="shared" ca="1" si="76"/>
        <v>751683</v>
      </c>
      <c r="G474">
        <f t="shared" ca="1" si="77"/>
        <v>84</v>
      </c>
      <c r="H474">
        <f t="shared" ca="1" si="78"/>
        <v>571</v>
      </c>
      <c r="I474" t="str">
        <f t="shared" ca="1" si="79"/>
        <v>Business</v>
      </c>
      <c r="J474" t="str">
        <f t="shared" ca="1" si="80"/>
        <v>Education</v>
      </c>
      <c r="K474" t="str">
        <f t="shared" ca="1" si="81"/>
        <v>Approved</v>
      </c>
      <c r="L474">
        <f t="shared" si="68"/>
        <v>971</v>
      </c>
      <c r="M474">
        <f t="shared" ca="1" si="69"/>
        <v>612</v>
      </c>
      <c r="N474">
        <f t="shared" ca="1" si="70"/>
        <v>292</v>
      </c>
      <c r="O474" s="2">
        <f t="shared" ca="1" si="71"/>
        <v>0.63027806385169927</v>
      </c>
    </row>
    <row r="475" spans="1:15" x14ac:dyDescent="0.3">
      <c r="A475" s="3" t="s">
        <v>680</v>
      </c>
      <c r="B475" t="str">
        <f t="shared" ca="1" si="72"/>
        <v>Mr. Arun Kumar</v>
      </c>
      <c r="C475">
        <f t="shared" ca="1" si="73"/>
        <v>61</v>
      </c>
      <c r="D475" t="str">
        <f t="shared" ca="1" si="74"/>
        <v>Female</v>
      </c>
      <c r="E475">
        <f t="shared" ca="1" si="75"/>
        <v>1661339</v>
      </c>
      <c r="F475">
        <f t="shared" ca="1" si="76"/>
        <v>311887</v>
      </c>
      <c r="G475">
        <f t="shared" ca="1" si="77"/>
        <v>72</v>
      </c>
      <c r="H475">
        <f t="shared" ca="1" si="78"/>
        <v>557</v>
      </c>
      <c r="I475" t="str">
        <f t="shared" ca="1" si="79"/>
        <v>Contract-Based</v>
      </c>
      <c r="J475" t="str">
        <f t="shared" ca="1" si="80"/>
        <v>Home</v>
      </c>
      <c r="K475" t="str">
        <f t="shared" ca="1" si="81"/>
        <v>Approved</v>
      </c>
      <c r="L475">
        <f t="shared" si="68"/>
        <v>971</v>
      </c>
      <c r="M475">
        <f t="shared" ca="1" si="69"/>
        <v>612</v>
      </c>
      <c r="N475">
        <f t="shared" ca="1" si="70"/>
        <v>292</v>
      </c>
      <c r="O475" s="2">
        <f t="shared" ca="1" si="71"/>
        <v>0.63027806385169927</v>
      </c>
    </row>
    <row r="476" spans="1:15" x14ac:dyDescent="0.3">
      <c r="A476" s="3" t="s">
        <v>681</v>
      </c>
      <c r="B476" t="str">
        <f t="shared" ca="1" si="72"/>
        <v>Ms. Anjali Singh</v>
      </c>
      <c r="C476">
        <f t="shared" ca="1" si="73"/>
        <v>37</v>
      </c>
      <c r="D476" t="str">
        <f t="shared" ca="1" si="74"/>
        <v>Male</v>
      </c>
      <c r="E476">
        <f t="shared" ca="1" si="75"/>
        <v>1635624</v>
      </c>
      <c r="F476">
        <f t="shared" ca="1" si="76"/>
        <v>1215846</v>
      </c>
      <c r="G476">
        <f t="shared" ca="1" si="77"/>
        <v>84</v>
      </c>
      <c r="H476">
        <f t="shared" ca="1" si="78"/>
        <v>788</v>
      </c>
      <c r="I476" t="str">
        <f t="shared" ca="1" si="79"/>
        <v>Contract-Based</v>
      </c>
      <c r="J476" t="str">
        <f t="shared" ca="1" si="80"/>
        <v>Home</v>
      </c>
      <c r="K476" t="str">
        <f t="shared" ca="1" si="81"/>
        <v>Approved</v>
      </c>
      <c r="L476">
        <f t="shared" si="68"/>
        <v>971</v>
      </c>
      <c r="M476">
        <f t="shared" ca="1" si="69"/>
        <v>612</v>
      </c>
      <c r="N476">
        <f t="shared" ca="1" si="70"/>
        <v>292</v>
      </c>
      <c r="O476" s="2">
        <f t="shared" ca="1" si="71"/>
        <v>0.63027806385169927</v>
      </c>
    </row>
    <row r="477" spans="1:15" x14ac:dyDescent="0.3">
      <c r="A477" s="3" t="s">
        <v>682</v>
      </c>
      <c r="B477" t="str">
        <f t="shared" ca="1" si="72"/>
        <v>Mr. Arun Kumar</v>
      </c>
      <c r="C477">
        <f t="shared" ca="1" si="73"/>
        <v>29</v>
      </c>
      <c r="D477" t="str">
        <f t="shared" ca="1" si="74"/>
        <v>Female</v>
      </c>
      <c r="E477">
        <f t="shared" ca="1" si="75"/>
        <v>1384810</v>
      </c>
      <c r="F477">
        <f t="shared" ca="1" si="76"/>
        <v>2129009</v>
      </c>
      <c r="G477">
        <f t="shared" ca="1" si="77"/>
        <v>84</v>
      </c>
      <c r="H477">
        <f t="shared" ca="1" si="78"/>
        <v>811</v>
      </c>
      <c r="I477" t="str">
        <f t="shared" ca="1" si="79"/>
        <v>Self-Employed</v>
      </c>
      <c r="J477" t="str">
        <f t="shared" ca="1" si="80"/>
        <v>Personal</v>
      </c>
      <c r="K477" t="str">
        <f t="shared" ca="1" si="81"/>
        <v>Rejected</v>
      </c>
      <c r="L477">
        <f t="shared" si="68"/>
        <v>971</v>
      </c>
      <c r="M477">
        <f t="shared" ca="1" si="69"/>
        <v>612</v>
      </c>
      <c r="N477">
        <f t="shared" ca="1" si="70"/>
        <v>292</v>
      </c>
      <c r="O477" s="2">
        <f t="shared" ca="1" si="71"/>
        <v>0.63027806385169927</v>
      </c>
    </row>
    <row r="478" spans="1:15" x14ac:dyDescent="0.3">
      <c r="A478" s="3" t="s">
        <v>683</v>
      </c>
      <c r="B478" t="str">
        <f t="shared" ca="1" si="72"/>
        <v>Mr. Rohan Gupta</v>
      </c>
      <c r="C478">
        <f t="shared" ca="1" si="73"/>
        <v>56</v>
      </c>
      <c r="D478" t="str">
        <f t="shared" ca="1" si="74"/>
        <v>Male</v>
      </c>
      <c r="E478">
        <f t="shared" ca="1" si="75"/>
        <v>1139226</v>
      </c>
      <c r="F478">
        <f t="shared" ca="1" si="76"/>
        <v>1476935</v>
      </c>
      <c r="G478">
        <f t="shared" ca="1" si="77"/>
        <v>84</v>
      </c>
      <c r="H478">
        <f t="shared" ca="1" si="78"/>
        <v>756</v>
      </c>
      <c r="I478" t="str">
        <f t="shared" ca="1" si="79"/>
        <v>Contract-Based</v>
      </c>
      <c r="J478" t="str">
        <f t="shared" ca="1" si="80"/>
        <v>Personal</v>
      </c>
      <c r="K478" t="str">
        <f t="shared" ca="1" si="81"/>
        <v>Rejected</v>
      </c>
      <c r="L478">
        <f t="shared" si="68"/>
        <v>971</v>
      </c>
      <c r="M478">
        <f t="shared" ca="1" si="69"/>
        <v>612</v>
      </c>
      <c r="N478">
        <f t="shared" ca="1" si="70"/>
        <v>292</v>
      </c>
      <c r="O478" s="2">
        <f t="shared" ca="1" si="71"/>
        <v>0.63027806385169927</v>
      </c>
    </row>
    <row r="479" spans="1:15" x14ac:dyDescent="0.3">
      <c r="A479" s="3" t="s">
        <v>684</v>
      </c>
      <c r="B479" t="str">
        <f t="shared" ca="1" si="72"/>
        <v>Ms. Pooja Patel</v>
      </c>
      <c r="C479">
        <f t="shared" ca="1" si="73"/>
        <v>28</v>
      </c>
      <c r="D479" t="str">
        <f t="shared" ca="1" si="74"/>
        <v>Male</v>
      </c>
      <c r="E479">
        <f t="shared" ca="1" si="75"/>
        <v>640271</v>
      </c>
      <c r="F479">
        <f t="shared" ca="1" si="76"/>
        <v>1080148</v>
      </c>
      <c r="G479">
        <f t="shared" ca="1" si="77"/>
        <v>36</v>
      </c>
      <c r="H479">
        <f t="shared" ca="1" si="78"/>
        <v>538</v>
      </c>
      <c r="I479" t="str">
        <f t="shared" ca="1" si="79"/>
        <v>Freelancer</v>
      </c>
      <c r="J479" t="str">
        <f t="shared" ca="1" si="80"/>
        <v>Personal</v>
      </c>
      <c r="K479" t="str">
        <f t="shared" ca="1" si="81"/>
        <v>Approved</v>
      </c>
      <c r="L479">
        <f t="shared" si="68"/>
        <v>971</v>
      </c>
      <c r="M479">
        <f t="shared" ca="1" si="69"/>
        <v>612</v>
      </c>
      <c r="N479">
        <f t="shared" ca="1" si="70"/>
        <v>292</v>
      </c>
      <c r="O479" s="2">
        <f t="shared" ca="1" si="71"/>
        <v>0.63027806385169927</v>
      </c>
    </row>
    <row r="480" spans="1:15" x14ac:dyDescent="0.3">
      <c r="A480" s="3" t="s">
        <v>685</v>
      </c>
      <c r="B480" t="str">
        <f t="shared" ca="1" si="72"/>
        <v>Ms. Pooja Patel</v>
      </c>
      <c r="C480">
        <f t="shared" ca="1" si="73"/>
        <v>24</v>
      </c>
      <c r="D480" t="str">
        <f t="shared" ca="1" si="74"/>
        <v>Male</v>
      </c>
      <c r="E480">
        <f t="shared" ca="1" si="75"/>
        <v>1904980</v>
      </c>
      <c r="F480">
        <f t="shared" ca="1" si="76"/>
        <v>2389667</v>
      </c>
      <c r="G480">
        <f t="shared" ca="1" si="77"/>
        <v>24</v>
      </c>
      <c r="H480">
        <f t="shared" ca="1" si="78"/>
        <v>781</v>
      </c>
      <c r="I480" t="str">
        <f t="shared" ca="1" si="79"/>
        <v>Self-Employed</v>
      </c>
      <c r="J480" t="str">
        <f t="shared" ca="1" si="80"/>
        <v>Business</v>
      </c>
      <c r="K480" t="str">
        <f t="shared" ca="1" si="81"/>
        <v>Rejected</v>
      </c>
      <c r="L480">
        <f t="shared" si="68"/>
        <v>971</v>
      </c>
      <c r="M480">
        <f t="shared" ca="1" si="69"/>
        <v>612</v>
      </c>
      <c r="N480">
        <f t="shared" ca="1" si="70"/>
        <v>292</v>
      </c>
      <c r="O480" s="2">
        <f t="shared" ca="1" si="71"/>
        <v>0.63027806385169927</v>
      </c>
    </row>
    <row r="481" spans="1:15" x14ac:dyDescent="0.3">
      <c r="A481" s="3" t="s">
        <v>686</v>
      </c>
      <c r="B481" t="str">
        <f t="shared" ca="1" si="72"/>
        <v>Ms. Anjali Singh</v>
      </c>
      <c r="C481">
        <f t="shared" ca="1" si="73"/>
        <v>63</v>
      </c>
      <c r="D481" t="str">
        <f t="shared" ca="1" si="74"/>
        <v>Female</v>
      </c>
      <c r="E481">
        <f t="shared" ca="1" si="75"/>
        <v>1964902</v>
      </c>
      <c r="F481">
        <f t="shared" ca="1" si="76"/>
        <v>2228183</v>
      </c>
      <c r="G481">
        <f t="shared" ca="1" si="77"/>
        <v>48</v>
      </c>
      <c r="H481">
        <f t="shared" ca="1" si="78"/>
        <v>821</v>
      </c>
      <c r="I481" t="str">
        <f t="shared" ca="1" si="79"/>
        <v>Business</v>
      </c>
      <c r="J481" t="str">
        <f t="shared" ca="1" si="80"/>
        <v>Personal</v>
      </c>
      <c r="K481" t="str">
        <f t="shared" ca="1" si="81"/>
        <v>Approved</v>
      </c>
      <c r="L481">
        <f t="shared" si="68"/>
        <v>971</v>
      </c>
      <c r="M481">
        <f t="shared" ca="1" si="69"/>
        <v>612</v>
      </c>
      <c r="N481">
        <f t="shared" ca="1" si="70"/>
        <v>292</v>
      </c>
      <c r="O481" s="2">
        <f t="shared" ca="1" si="71"/>
        <v>0.63027806385169927</v>
      </c>
    </row>
    <row r="482" spans="1:15" x14ac:dyDescent="0.3">
      <c r="A482" s="3" t="s">
        <v>687</v>
      </c>
      <c r="B482" t="str">
        <f t="shared" ca="1" si="72"/>
        <v>Ms. Priya Sharma</v>
      </c>
      <c r="C482">
        <f t="shared" ca="1" si="73"/>
        <v>23</v>
      </c>
      <c r="D482" t="str">
        <f t="shared" ca="1" si="74"/>
        <v>Male</v>
      </c>
      <c r="E482">
        <f t="shared" ca="1" si="75"/>
        <v>1536727</v>
      </c>
      <c r="F482">
        <f t="shared" ca="1" si="76"/>
        <v>1466906</v>
      </c>
      <c r="G482">
        <f t="shared" ca="1" si="77"/>
        <v>24</v>
      </c>
      <c r="H482">
        <f t="shared" ca="1" si="78"/>
        <v>405</v>
      </c>
      <c r="I482" t="str">
        <f t="shared" ca="1" si="79"/>
        <v>Freelancer</v>
      </c>
      <c r="J482" t="str">
        <f t="shared" ca="1" si="80"/>
        <v>Education</v>
      </c>
      <c r="K482" t="str">
        <f t="shared" ca="1" si="81"/>
        <v>Approved</v>
      </c>
      <c r="L482">
        <f t="shared" si="68"/>
        <v>971</v>
      </c>
      <c r="M482">
        <f t="shared" ca="1" si="69"/>
        <v>612</v>
      </c>
      <c r="N482">
        <f t="shared" ca="1" si="70"/>
        <v>292</v>
      </c>
      <c r="O482" s="2">
        <f t="shared" ca="1" si="71"/>
        <v>0.63027806385169927</v>
      </c>
    </row>
    <row r="483" spans="1:15" x14ac:dyDescent="0.3">
      <c r="A483" s="3" t="s">
        <v>688</v>
      </c>
      <c r="B483" t="str">
        <f t="shared" ca="1" si="72"/>
        <v>Mr. Amit Das</v>
      </c>
      <c r="C483">
        <f t="shared" ca="1" si="73"/>
        <v>35</v>
      </c>
      <c r="D483" t="str">
        <f t="shared" ca="1" si="74"/>
        <v>Female</v>
      </c>
      <c r="E483">
        <f t="shared" ca="1" si="75"/>
        <v>1400913</v>
      </c>
      <c r="F483">
        <f t="shared" ca="1" si="76"/>
        <v>2154808</v>
      </c>
      <c r="G483">
        <f t="shared" ca="1" si="77"/>
        <v>60</v>
      </c>
      <c r="H483">
        <f t="shared" ca="1" si="78"/>
        <v>547</v>
      </c>
      <c r="I483" t="str">
        <f t="shared" ca="1" si="79"/>
        <v>Freelancer</v>
      </c>
      <c r="J483" t="str">
        <f t="shared" ca="1" si="80"/>
        <v>Home</v>
      </c>
      <c r="K483" t="str">
        <f t="shared" ca="1" si="81"/>
        <v>Approved</v>
      </c>
      <c r="L483">
        <f t="shared" si="68"/>
        <v>971</v>
      </c>
      <c r="M483">
        <f t="shared" ca="1" si="69"/>
        <v>612</v>
      </c>
      <c r="N483">
        <f t="shared" ca="1" si="70"/>
        <v>292</v>
      </c>
      <c r="O483" s="2">
        <f t="shared" ca="1" si="71"/>
        <v>0.63027806385169927</v>
      </c>
    </row>
    <row r="484" spans="1:15" x14ac:dyDescent="0.3">
      <c r="A484" s="3" t="s">
        <v>689</v>
      </c>
      <c r="B484" t="str">
        <f t="shared" ca="1" si="72"/>
        <v>Ms. Anjali Singh</v>
      </c>
      <c r="C484">
        <f t="shared" ca="1" si="73"/>
        <v>31</v>
      </c>
      <c r="D484" t="str">
        <f t="shared" ca="1" si="74"/>
        <v>Male</v>
      </c>
      <c r="E484">
        <f t="shared" ca="1" si="75"/>
        <v>1396923</v>
      </c>
      <c r="F484">
        <f t="shared" ca="1" si="76"/>
        <v>208831</v>
      </c>
      <c r="G484">
        <f t="shared" ca="1" si="77"/>
        <v>60</v>
      </c>
      <c r="H484">
        <f t="shared" ca="1" si="78"/>
        <v>775</v>
      </c>
      <c r="I484" t="str">
        <f t="shared" ca="1" si="79"/>
        <v>Business</v>
      </c>
      <c r="J484" t="str">
        <f t="shared" ca="1" si="80"/>
        <v>Personal</v>
      </c>
      <c r="K484" t="str">
        <f t="shared" ca="1" si="81"/>
        <v>Approved</v>
      </c>
      <c r="L484">
        <f t="shared" si="68"/>
        <v>971</v>
      </c>
      <c r="M484">
        <f t="shared" ca="1" si="69"/>
        <v>612</v>
      </c>
      <c r="N484">
        <f t="shared" ca="1" si="70"/>
        <v>292</v>
      </c>
      <c r="O484" s="2">
        <f t="shared" ca="1" si="71"/>
        <v>0.63027806385169927</v>
      </c>
    </row>
    <row r="485" spans="1:15" x14ac:dyDescent="0.3">
      <c r="A485" s="3" t="s">
        <v>690</v>
      </c>
      <c r="B485" t="str">
        <f t="shared" ca="1" si="72"/>
        <v>Mr. Rohan Gupta</v>
      </c>
      <c r="C485">
        <f t="shared" ca="1" si="73"/>
        <v>65</v>
      </c>
      <c r="D485" t="str">
        <f t="shared" ca="1" si="74"/>
        <v>Male</v>
      </c>
      <c r="E485">
        <f t="shared" ca="1" si="75"/>
        <v>907978</v>
      </c>
      <c r="F485">
        <f t="shared" ca="1" si="76"/>
        <v>2235448</v>
      </c>
      <c r="G485">
        <f t="shared" ca="1" si="77"/>
        <v>24</v>
      </c>
      <c r="H485">
        <f t="shared" ca="1" si="78"/>
        <v>735</v>
      </c>
      <c r="I485" t="str">
        <f t="shared" ca="1" si="79"/>
        <v>Self-Employed</v>
      </c>
      <c r="J485" t="str">
        <f t="shared" ca="1" si="80"/>
        <v>Car</v>
      </c>
      <c r="K485" t="str">
        <f t="shared" ca="1" si="81"/>
        <v>Approved</v>
      </c>
      <c r="L485">
        <f t="shared" si="68"/>
        <v>971</v>
      </c>
      <c r="M485">
        <f t="shared" ca="1" si="69"/>
        <v>612</v>
      </c>
      <c r="N485">
        <f t="shared" ca="1" si="70"/>
        <v>292</v>
      </c>
      <c r="O485" s="2">
        <f t="shared" ca="1" si="71"/>
        <v>0.63027806385169927</v>
      </c>
    </row>
    <row r="486" spans="1:15" x14ac:dyDescent="0.3">
      <c r="A486" s="3" t="s">
        <v>691</v>
      </c>
      <c r="B486" t="str">
        <f t="shared" ca="1" si="72"/>
        <v>Mr. Amit Das</v>
      </c>
      <c r="C486">
        <f t="shared" ca="1" si="73"/>
        <v>41</v>
      </c>
      <c r="D486" t="str">
        <f t="shared" ca="1" si="74"/>
        <v>Female</v>
      </c>
      <c r="E486">
        <f t="shared" ca="1" si="75"/>
        <v>1440268</v>
      </c>
      <c r="F486">
        <f t="shared" ca="1" si="76"/>
        <v>1683038</v>
      </c>
      <c r="G486">
        <f t="shared" ca="1" si="77"/>
        <v>48</v>
      </c>
      <c r="H486">
        <f t="shared" ca="1" si="78"/>
        <v>815</v>
      </c>
      <c r="I486" t="str">
        <f t="shared" ca="1" si="79"/>
        <v>Contract-Based</v>
      </c>
      <c r="J486" t="str">
        <f t="shared" ca="1" si="80"/>
        <v>Business</v>
      </c>
      <c r="K486" t="str">
        <f t="shared" ca="1" si="81"/>
        <v>Rejected</v>
      </c>
      <c r="L486">
        <f t="shared" si="68"/>
        <v>971</v>
      </c>
      <c r="M486">
        <f t="shared" ca="1" si="69"/>
        <v>612</v>
      </c>
      <c r="N486">
        <f t="shared" ca="1" si="70"/>
        <v>292</v>
      </c>
      <c r="O486" s="2">
        <f t="shared" ca="1" si="71"/>
        <v>0.63027806385169927</v>
      </c>
    </row>
    <row r="487" spans="1:15" x14ac:dyDescent="0.3">
      <c r="A487" s="3" t="s">
        <v>692</v>
      </c>
      <c r="B487" t="str">
        <f t="shared" ca="1" si="72"/>
        <v>Mr. Arun Kumar</v>
      </c>
      <c r="C487">
        <f t="shared" ca="1" si="73"/>
        <v>21</v>
      </c>
      <c r="D487" t="str">
        <f t="shared" ca="1" si="74"/>
        <v>Female</v>
      </c>
      <c r="E487">
        <f t="shared" ca="1" si="75"/>
        <v>677796</v>
      </c>
      <c r="F487">
        <f t="shared" ca="1" si="76"/>
        <v>699839</v>
      </c>
      <c r="G487">
        <f t="shared" ca="1" si="77"/>
        <v>48</v>
      </c>
      <c r="H487">
        <f t="shared" ca="1" si="78"/>
        <v>551</v>
      </c>
      <c r="I487" t="str">
        <f t="shared" ca="1" si="79"/>
        <v>Student</v>
      </c>
      <c r="J487" t="str">
        <f t="shared" ca="1" si="80"/>
        <v>Home</v>
      </c>
      <c r="K487" t="str">
        <f t="shared" ca="1" si="81"/>
        <v>Rejected</v>
      </c>
      <c r="L487">
        <f t="shared" si="68"/>
        <v>971</v>
      </c>
      <c r="M487">
        <f t="shared" ca="1" si="69"/>
        <v>612</v>
      </c>
      <c r="N487">
        <f t="shared" ca="1" si="70"/>
        <v>292</v>
      </c>
      <c r="O487" s="2">
        <f t="shared" ca="1" si="71"/>
        <v>0.63027806385169927</v>
      </c>
    </row>
    <row r="488" spans="1:15" x14ac:dyDescent="0.3">
      <c r="A488" s="3" t="s">
        <v>693</v>
      </c>
      <c r="B488" t="str">
        <f t="shared" ca="1" si="72"/>
        <v>Mr. Suresh Rao</v>
      </c>
      <c r="C488">
        <f t="shared" ca="1" si="73"/>
        <v>39</v>
      </c>
      <c r="D488" t="str">
        <f t="shared" ca="1" si="74"/>
        <v>Male</v>
      </c>
      <c r="E488">
        <f t="shared" ca="1" si="75"/>
        <v>1150262</v>
      </c>
      <c r="F488">
        <f t="shared" ca="1" si="76"/>
        <v>195556</v>
      </c>
      <c r="G488">
        <f t="shared" ca="1" si="77"/>
        <v>24</v>
      </c>
      <c r="H488">
        <f t="shared" ca="1" si="78"/>
        <v>404</v>
      </c>
      <c r="I488" t="str">
        <f t="shared" ca="1" si="79"/>
        <v>Student</v>
      </c>
      <c r="J488" t="str">
        <f t="shared" ca="1" si="80"/>
        <v>Car</v>
      </c>
      <c r="K488" t="str">
        <f t="shared" ca="1" si="81"/>
        <v>Approved</v>
      </c>
      <c r="L488">
        <f t="shared" si="68"/>
        <v>971</v>
      </c>
      <c r="M488">
        <f t="shared" ca="1" si="69"/>
        <v>612</v>
      </c>
      <c r="N488">
        <f t="shared" ca="1" si="70"/>
        <v>292</v>
      </c>
      <c r="O488" s="2">
        <f t="shared" ca="1" si="71"/>
        <v>0.63027806385169927</v>
      </c>
    </row>
    <row r="489" spans="1:15" x14ac:dyDescent="0.3">
      <c r="A489" s="3" t="s">
        <v>694</v>
      </c>
      <c r="B489" t="str">
        <f t="shared" ca="1" si="72"/>
        <v>Mr. Suresh Rao</v>
      </c>
      <c r="C489">
        <f t="shared" ca="1" si="73"/>
        <v>65</v>
      </c>
      <c r="D489" t="str">
        <f t="shared" ca="1" si="74"/>
        <v>Male</v>
      </c>
      <c r="E489">
        <f t="shared" ca="1" si="75"/>
        <v>335868</v>
      </c>
      <c r="F489">
        <f t="shared" ca="1" si="76"/>
        <v>931943</v>
      </c>
      <c r="G489">
        <f t="shared" ca="1" si="77"/>
        <v>24</v>
      </c>
      <c r="H489">
        <f t="shared" ca="1" si="78"/>
        <v>615</v>
      </c>
      <c r="I489" t="str">
        <f t="shared" ca="1" si="79"/>
        <v>Freelancer</v>
      </c>
      <c r="J489" t="str">
        <f t="shared" ca="1" si="80"/>
        <v>Car</v>
      </c>
      <c r="K489" t="str">
        <f t="shared" ca="1" si="81"/>
        <v>Approved</v>
      </c>
      <c r="L489">
        <f t="shared" si="68"/>
        <v>971</v>
      </c>
      <c r="M489">
        <f t="shared" ca="1" si="69"/>
        <v>612</v>
      </c>
      <c r="N489">
        <f t="shared" ca="1" si="70"/>
        <v>292</v>
      </c>
      <c r="O489" s="2">
        <f t="shared" ca="1" si="71"/>
        <v>0.63027806385169927</v>
      </c>
    </row>
    <row r="490" spans="1:15" x14ac:dyDescent="0.3">
      <c r="A490" s="3" t="s">
        <v>695</v>
      </c>
      <c r="B490" t="str">
        <f t="shared" ca="1" si="72"/>
        <v>Mr. Suresh Rao</v>
      </c>
      <c r="C490">
        <f t="shared" ca="1" si="73"/>
        <v>42</v>
      </c>
      <c r="D490" t="str">
        <f t="shared" ca="1" si="74"/>
        <v>Male</v>
      </c>
      <c r="E490">
        <f t="shared" ca="1" si="75"/>
        <v>1127065</v>
      </c>
      <c r="F490">
        <f t="shared" ca="1" si="76"/>
        <v>979683</v>
      </c>
      <c r="G490">
        <f t="shared" ca="1" si="77"/>
        <v>24</v>
      </c>
      <c r="H490">
        <f t="shared" ca="1" si="78"/>
        <v>729</v>
      </c>
      <c r="I490" t="str">
        <f t="shared" ca="1" si="79"/>
        <v>Student</v>
      </c>
      <c r="J490" t="str">
        <f t="shared" ca="1" si="80"/>
        <v>Personal</v>
      </c>
      <c r="K490" t="str">
        <f t="shared" ca="1" si="81"/>
        <v>Rejected</v>
      </c>
      <c r="L490">
        <f t="shared" si="68"/>
        <v>971</v>
      </c>
      <c r="M490">
        <f t="shared" ca="1" si="69"/>
        <v>612</v>
      </c>
      <c r="N490">
        <f t="shared" ca="1" si="70"/>
        <v>292</v>
      </c>
      <c r="O490" s="2">
        <f t="shared" ca="1" si="71"/>
        <v>0.63027806385169927</v>
      </c>
    </row>
    <row r="491" spans="1:15" x14ac:dyDescent="0.3">
      <c r="A491" s="3" t="s">
        <v>696</v>
      </c>
      <c r="B491" t="str">
        <f t="shared" ca="1" si="72"/>
        <v>Ms. Anjali Singh</v>
      </c>
      <c r="C491">
        <f t="shared" ca="1" si="73"/>
        <v>41</v>
      </c>
      <c r="D491" t="str">
        <f t="shared" ca="1" si="74"/>
        <v>Female</v>
      </c>
      <c r="E491">
        <f t="shared" ca="1" si="75"/>
        <v>1460093</v>
      </c>
      <c r="F491">
        <f t="shared" ca="1" si="76"/>
        <v>2459178</v>
      </c>
      <c r="G491">
        <f t="shared" ca="1" si="77"/>
        <v>72</v>
      </c>
      <c r="H491">
        <f t="shared" ca="1" si="78"/>
        <v>423</v>
      </c>
      <c r="I491" t="str">
        <f t="shared" ca="1" si="79"/>
        <v>Freelancer</v>
      </c>
      <c r="J491" t="str">
        <f t="shared" ca="1" si="80"/>
        <v>Personal</v>
      </c>
      <c r="K491" t="str">
        <f t="shared" ca="1" si="81"/>
        <v>Rejected</v>
      </c>
      <c r="L491">
        <f t="shared" si="68"/>
        <v>971</v>
      </c>
      <c r="M491">
        <f t="shared" ca="1" si="69"/>
        <v>612</v>
      </c>
      <c r="N491">
        <f t="shared" ca="1" si="70"/>
        <v>292</v>
      </c>
      <c r="O491" s="2">
        <f t="shared" ca="1" si="71"/>
        <v>0.63027806385169927</v>
      </c>
    </row>
    <row r="492" spans="1:15" x14ac:dyDescent="0.3">
      <c r="A492" s="3" t="s">
        <v>697</v>
      </c>
      <c r="B492" t="str">
        <f t="shared" ca="1" si="72"/>
        <v>Ms. Pooja Patel</v>
      </c>
      <c r="C492">
        <f t="shared" ca="1" si="73"/>
        <v>34</v>
      </c>
      <c r="D492" t="str">
        <f t="shared" ca="1" si="74"/>
        <v>Female</v>
      </c>
      <c r="E492">
        <f t="shared" ca="1" si="75"/>
        <v>859526</v>
      </c>
      <c r="F492">
        <f t="shared" ca="1" si="76"/>
        <v>1975321</v>
      </c>
      <c r="G492">
        <f t="shared" ca="1" si="77"/>
        <v>24</v>
      </c>
      <c r="H492">
        <f t="shared" ca="1" si="78"/>
        <v>354</v>
      </c>
      <c r="I492" t="str">
        <f t="shared" ca="1" si="79"/>
        <v>Freelancer</v>
      </c>
      <c r="J492" t="str">
        <f t="shared" ca="1" si="80"/>
        <v>Education</v>
      </c>
      <c r="K492" t="str">
        <f t="shared" ca="1" si="81"/>
        <v>Approved</v>
      </c>
      <c r="L492">
        <f t="shared" si="68"/>
        <v>971</v>
      </c>
      <c r="M492">
        <f t="shared" ca="1" si="69"/>
        <v>612</v>
      </c>
      <c r="N492">
        <f t="shared" ca="1" si="70"/>
        <v>292</v>
      </c>
      <c r="O492" s="2">
        <f t="shared" ca="1" si="71"/>
        <v>0.63027806385169927</v>
      </c>
    </row>
    <row r="493" spans="1:15" x14ac:dyDescent="0.3">
      <c r="A493" s="3" t="s">
        <v>698</v>
      </c>
      <c r="B493" t="str">
        <f t="shared" ca="1" si="72"/>
        <v>Ms. Pooja Patel</v>
      </c>
      <c r="C493">
        <f t="shared" ca="1" si="73"/>
        <v>55</v>
      </c>
      <c r="D493" t="str">
        <f t="shared" ca="1" si="74"/>
        <v>Female</v>
      </c>
      <c r="E493">
        <f t="shared" ca="1" si="75"/>
        <v>1619060</v>
      </c>
      <c r="F493">
        <f t="shared" ca="1" si="76"/>
        <v>792800</v>
      </c>
      <c r="G493">
        <f t="shared" ca="1" si="77"/>
        <v>24</v>
      </c>
      <c r="H493">
        <f t="shared" ca="1" si="78"/>
        <v>791</v>
      </c>
      <c r="I493" t="str">
        <f t="shared" ca="1" si="79"/>
        <v>Self-Employed</v>
      </c>
      <c r="J493" t="str">
        <f t="shared" ca="1" si="80"/>
        <v>Business</v>
      </c>
      <c r="K493" t="str">
        <f t="shared" ca="1" si="81"/>
        <v>Approved</v>
      </c>
      <c r="L493">
        <f t="shared" si="68"/>
        <v>971</v>
      </c>
      <c r="M493">
        <f t="shared" ca="1" si="69"/>
        <v>612</v>
      </c>
      <c r="N493">
        <f t="shared" ca="1" si="70"/>
        <v>292</v>
      </c>
      <c r="O493" s="2">
        <f t="shared" ca="1" si="71"/>
        <v>0.63027806385169927</v>
      </c>
    </row>
    <row r="494" spans="1:15" x14ac:dyDescent="0.3">
      <c r="A494" s="3" t="s">
        <v>699</v>
      </c>
      <c r="B494" t="str">
        <f t="shared" ca="1" si="72"/>
        <v>Ms. Priya Sharma</v>
      </c>
      <c r="C494">
        <f t="shared" ca="1" si="73"/>
        <v>59</v>
      </c>
      <c r="D494" t="str">
        <f t="shared" ca="1" si="74"/>
        <v>Male</v>
      </c>
      <c r="E494">
        <f t="shared" ca="1" si="75"/>
        <v>1996249</v>
      </c>
      <c r="F494">
        <f t="shared" ca="1" si="76"/>
        <v>2213991</v>
      </c>
      <c r="G494">
        <f t="shared" ca="1" si="77"/>
        <v>72</v>
      </c>
      <c r="H494">
        <f t="shared" ca="1" si="78"/>
        <v>413</v>
      </c>
      <c r="I494" t="str">
        <f t="shared" ca="1" si="79"/>
        <v>Salaried</v>
      </c>
      <c r="J494" t="str">
        <f t="shared" ca="1" si="80"/>
        <v>Car</v>
      </c>
      <c r="K494" t="str">
        <f t="shared" ca="1" si="81"/>
        <v>Approved</v>
      </c>
      <c r="L494">
        <f t="shared" si="68"/>
        <v>971</v>
      </c>
      <c r="M494">
        <f t="shared" ca="1" si="69"/>
        <v>612</v>
      </c>
      <c r="N494">
        <f t="shared" ca="1" si="70"/>
        <v>292</v>
      </c>
      <c r="O494" s="2">
        <f t="shared" ca="1" si="71"/>
        <v>0.63027806385169927</v>
      </c>
    </row>
    <row r="495" spans="1:15" x14ac:dyDescent="0.3">
      <c r="A495" s="3" t="s">
        <v>700</v>
      </c>
      <c r="B495" t="str">
        <f t="shared" ca="1" si="72"/>
        <v>Mr. Rohan Gupta</v>
      </c>
      <c r="C495">
        <f t="shared" ca="1" si="73"/>
        <v>27</v>
      </c>
      <c r="D495" t="str">
        <f t="shared" ca="1" si="74"/>
        <v>Female</v>
      </c>
      <c r="E495">
        <f t="shared" ca="1" si="75"/>
        <v>816052</v>
      </c>
      <c r="F495">
        <f t="shared" ca="1" si="76"/>
        <v>1580457</v>
      </c>
      <c r="G495">
        <f t="shared" ca="1" si="77"/>
        <v>60</v>
      </c>
      <c r="H495">
        <f t="shared" ca="1" si="78"/>
        <v>303</v>
      </c>
      <c r="I495" t="str">
        <f t="shared" ca="1" si="79"/>
        <v>Contract-Based</v>
      </c>
      <c r="J495" t="str">
        <f t="shared" ca="1" si="80"/>
        <v>Car</v>
      </c>
      <c r="K495" t="str">
        <f t="shared" ca="1" si="81"/>
        <v>Approved</v>
      </c>
      <c r="L495">
        <f t="shared" si="68"/>
        <v>971</v>
      </c>
      <c r="M495">
        <f t="shared" ca="1" si="69"/>
        <v>612</v>
      </c>
      <c r="N495">
        <f t="shared" ca="1" si="70"/>
        <v>292</v>
      </c>
      <c r="O495" s="2">
        <f t="shared" ca="1" si="71"/>
        <v>0.63027806385169927</v>
      </c>
    </row>
    <row r="496" spans="1:15" x14ac:dyDescent="0.3">
      <c r="A496" s="3" t="s">
        <v>701</v>
      </c>
      <c r="B496" t="str">
        <f t="shared" ca="1" si="72"/>
        <v>Ms. Pooja Patel</v>
      </c>
      <c r="C496">
        <f t="shared" ca="1" si="73"/>
        <v>23</v>
      </c>
      <c r="D496" t="str">
        <f t="shared" ca="1" si="74"/>
        <v>Male</v>
      </c>
      <c r="E496">
        <f t="shared" ca="1" si="75"/>
        <v>539160</v>
      </c>
      <c r="F496">
        <f t="shared" ca="1" si="76"/>
        <v>880776</v>
      </c>
      <c r="G496">
        <f t="shared" ca="1" si="77"/>
        <v>12</v>
      </c>
      <c r="H496">
        <f t="shared" ca="1" si="78"/>
        <v>582</v>
      </c>
      <c r="I496" t="str">
        <f t="shared" ca="1" si="79"/>
        <v>Salaried</v>
      </c>
      <c r="J496" t="str">
        <f t="shared" ca="1" si="80"/>
        <v>Education</v>
      </c>
      <c r="K496" t="str">
        <f t="shared" ca="1" si="81"/>
        <v>Approved</v>
      </c>
      <c r="L496">
        <f t="shared" si="68"/>
        <v>971</v>
      </c>
      <c r="M496">
        <f t="shared" ca="1" si="69"/>
        <v>612</v>
      </c>
      <c r="N496">
        <f t="shared" ca="1" si="70"/>
        <v>292</v>
      </c>
      <c r="O496" s="2">
        <f t="shared" ca="1" si="71"/>
        <v>0.63027806385169927</v>
      </c>
    </row>
    <row r="497" spans="1:15" x14ac:dyDescent="0.3">
      <c r="A497" s="3" t="s">
        <v>702</v>
      </c>
      <c r="B497" t="str">
        <f t="shared" ca="1" si="72"/>
        <v>Mr. Rohan Gupta</v>
      </c>
      <c r="C497">
        <f t="shared" ca="1" si="73"/>
        <v>30</v>
      </c>
      <c r="D497" t="str">
        <f t="shared" ca="1" si="74"/>
        <v>Male</v>
      </c>
      <c r="E497">
        <f t="shared" ca="1" si="75"/>
        <v>548859</v>
      </c>
      <c r="F497">
        <f t="shared" ca="1" si="76"/>
        <v>2132990</v>
      </c>
      <c r="G497">
        <f t="shared" ca="1" si="77"/>
        <v>36</v>
      </c>
      <c r="H497">
        <f t="shared" ca="1" si="78"/>
        <v>729</v>
      </c>
      <c r="I497" t="str">
        <f t="shared" ca="1" si="79"/>
        <v>Salaried</v>
      </c>
      <c r="J497" t="str">
        <f t="shared" ca="1" si="80"/>
        <v>Education</v>
      </c>
      <c r="K497" t="str">
        <f t="shared" ca="1" si="81"/>
        <v>Approved</v>
      </c>
      <c r="L497">
        <f t="shared" si="68"/>
        <v>971</v>
      </c>
      <c r="M497">
        <f t="shared" ca="1" si="69"/>
        <v>612</v>
      </c>
      <c r="N497">
        <f t="shared" ca="1" si="70"/>
        <v>292</v>
      </c>
      <c r="O497" s="2">
        <f t="shared" ca="1" si="71"/>
        <v>0.63027806385169927</v>
      </c>
    </row>
    <row r="498" spans="1:15" x14ac:dyDescent="0.3">
      <c r="A498" s="3" t="s">
        <v>703</v>
      </c>
      <c r="B498" t="str">
        <f t="shared" ca="1" si="72"/>
        <v>Mr. Amit Das</v>
      </c>
      <c r="C498">
        <f t="shared" ca="1" si="73"/>
        <v>22</v>
      </c>
      <c r="D498" t="str">
        <f t="shared" ca="1" si="74"/>
        <v>Female</v>
      </c>
      <c r="E498">
        <f t="shared" ca="1" si="75"/>
        <v>1927238</v>
      </c>
      <c r="F498">
        <f t="shared" ca="1" si="76"/>
        <v>563605</v>
      </c>
      <c r="G498">
        <f t="shared" ca="1" si="77"/>
        <v>60</v>
      </c>
      <c r="H498">
        <f t="shared" ca="1" si="78"/>
        <v>379</v>
      </c>
      <c r="I498" t="str">
        <f t="shared" ca="1" si="79"/>
        <v>Contract-Based</v>
      </c>
      <c r="J498" t="str">
        <f t="shared" ca="1" si="80"/>
        <v>Personal</v>
      </c>
      <c r="K498" t="str">
        <f t="shared" ca="1" si="81"/>
        <v>Approved</v>
      </c>
      <c r="L498">
        <f t="shared" si="68"/>
        <v>971</v>
      </c>
      <c r="M498">
        <f t="shared" ca="1" si="69"/>
        <v>612</v>
      </c>
      <c r="N498">
        <f t="shared" ca="1" si="70"/>
        <v>292</v>
      </c>
      <c r="O498" s="2">
        <f t="shared" ca="1" si="71"/>
        <v>0.63027806385169927</v>
      </c>
    </row>
    <row r="499" spans="1:15" x14ac:dyDescent="0.3">
      <c r="A499" s="3" t="s">
        <v>704</v>
      </c>
      <c r="B499" t="str">
        <f t="shared" ca="1" si="72"/>
        <v>Mr. Suresh Rao</v>
      </c>
      <c r="C499">
        <f t="shared" ca="1" si="73"/>
        <v>40</v>
      </c>
      <c r="D499" t="str">
        <f t="shared" ca="1" si="74"/>
        <v>Male</v>
      </c>
      <c r="E499">
        <f t="shared" ca="1" si="75"/>
        <v>1846201</v>
      </c>
      <c r="F499">
        <f t="shared" ca="1" si="76"/>
        <v>705214</v>
      </c>
      <c r="G499">
        <f t="shared" ca="1" si="77"/>
        <v>72</v>
      </c>
      <c r="H499">
        <f t="shared" ca="1" si="78"/>
        <v>543</v>
      </c>
      <c r="I499" t="str">
        <f t="shared" ca="1" si="79"/>
        <v>Self-Employed</v>
      </c>
      <c r="J499" t="str">
        <f t="shared" ca="1" si="80"/>
        <v>Personal</v>
      </c>
      <c r="K499" t="str">
        <f t="shared" ca="1" si="81"/>
        <v>Rejected</v>
      </c>
      <c r="L499">
        <f t="shared" si="68"/>
        <v>971</v>
      </c>
      <c r="M499">
        <f t="shared" ca="1" si="69"/>
        <v>612</v>
      </c>
      <c r="N499">
        <f t="shared" ca="1" si="70"/>
        <v>292</v>
      </c>
      <c r="O499" s="2">
        <f t="shared" ca="1" si="71"/>
        <v>0.63027806385169927</v>
      </c>
    </row>
    <row r="500" spans="1:15" x14ac:dyDescent="0.3">
      <c r="A500" s="3" t="s">
        <v>705</v>
      </c>
      <c r="B500" t="str">
        <f t="shared" ca="1" si="72"/>
        <v>Mr. Rohan Gupta</v>
      </c>
      <c r="C500">
        <f t="shared" ca="1" si="73"/>
        <v>26</v>
      </c>
      <c r="D500" t="str">
        <f t="shared" ca="1" si="74"/>
        <v>Male</v>
      </c>
      <c r="E500">
        <f t="shared" ca="1" si="75"/>
        <v>1715659</v>
      </c>
      <c r="F500">
        <f t="shared" ca="1" si="76"/>
        <v>1753420</v>
      </c>
      <c r="G500">
        <f t="shared" ca="1" si="77"/>
        <v>84</v>
      </c>
      <c r="H500">
        <f t="shared" ca="1" si="78"/>
        <v>837</v>
      </c>
      <c r="I500" t="str">
        <f t="shared" ca="1" si="79"/>
        <v>Business</v>
      </c>
      <c r="J500" t="str">
        <f t="shared" ca="1" si="80"/>
        <v>Home</v>
      </c>
      <c r="K500" t="str">
        <f t="shared" ca="1" si="81"/>
        <v>Approved</v>
      </c>
      <c r="L500">
        <f t="shared" si="68"/>
        <v>971</v>
      </c>
      <c r="M500">
        <f t="shared" ca="1" si="69"/>
        <v>612</v>
      </c>
      <c r="N500">
        <f t="shared" ca="1" si="70"/>
        <v>292</v>
      </c>
      <c r="O500" s="2">
        <f t="shared" ca="1" si="71"/>
        <v>0.63027806385169927</v>
      </c>
    </row>
    <row r="501" spans="1:15" x14ac:dyDescent="0.3">
      <c r="A501" s="3" t="s">
        <v>706</v>
      </c>
      <c r="B501" t="str">
        <f t="shared" ca="1" si="72"/>
        <v>Mr. Rohan Gupta</v>
      </c>
      <c r="C501">
        <f t="shared" ca="1" si="73"/>
        <v>44</v>
      </c>
      <c r="D501" t="str">
        <f t="shared" ca="1" si="74"/>
        <v>Female</v>
      </c>
      <c r="E501">
        <f t="shared" ca="1" si="75"/>
        <v>1446535</v>
      </c>
      <c r="F501">
        <f t="shared" ca="1" si="76"/>
        <v>519272</v>
      </c>
      <c r="G501">
        <f t="shared" ca="1" si="77"/>
        <v>84</v>
      </c>
      <c r="H501">
        <f t="shared" ca="1" si="78"/>
        <v>603</v>
      </c>
      <c r="I501" t="str">
        <f t="shared" ca="1" si="79"/>
        <v>Student</v>
      </c>
      <c r="J501" t="str">
        <f t="shared" ca="1" si="80"/>
        <v>Business</v>
      </c>
      <c r="K501" t="str">
        <f t="shared" ca="1" si="81"/>
        <v>Approved</v>
      </c>
      <c r="L501">
        <f t="shared" si="68"/>
        <v>971</v>
      </c>
      <c r="M501">
        <f t="shared" ca="1" si="69"/>
        <v>612</v>
      </c>
      <c r="N501">
        <f t="shared" ca="1" si="70"/>
        <v>292</v>
      </c>
      <c r="O501" s="2">
        <f t="shared" ca="1" si="71"/>
        <v>0.63027806385169927</v>
      </c>
    </row>
    <row r="502" spans="1:15" x14ac:dyDescent="0.3">
      <c r="A502" s="3" t="s">
        <v>707</v>
      </c>
      <c r="B502" t="str">
        <f t="shared" ca="1" si="72"/>
        <v>Mr. Arun Kumar</v>
      </c>
      <c r="C502">
        <f t="shared" ca="1" si="73"/>
        <v>60</v>
      </c>
      <c r="D502" t="str">
        <f t="shared" ca="1" si="74"/>
        <v>Male</v>
      </c>
      <c r="E502">
        <f t="shared" ca="1" si="75"/>
        <v>930261</v>
      </c>
      <c r="F502">
        <f t="shared" ca="1" si="76"/>
        <v>2038251</v>
      </c>
      <c r="G502">
        <f t="shared" ca="1" si="77"/>
        <v>60</v>
      </c>
      <c r="H502">
        <f t="shared" ca="1" si="78"/>
        <v>509</v>
      </c>
      <c r="I502" t="str">
        <f t="shared" ca="1" si="79"/>
        <v>Student</v>
      </c>
      <c r="J502" t="str">
        <f t="shared" ca="1" si="80"/>
        <v>Business</v>
      </c>
      <c r="K502" t="str">
        <f t="shared" ca="1" si="81"/>
        <v>Approved</v>
      </c>
      <c r="L502">
        <f t="shared" si="68"/>
        <v>971</v>
      </c>
      <c r="M502">
        <f t="shared" ca="1" si="69"/>
        <v>612</v>
      </c>
      <c r="N502">
        <f t="shared" ca="1" si="70"/>
        <v>292</v>
      </c>
      <c r="O502" s="2">
        <f t="shared" ca="1" si="71"/>
        <v>0.63027806385169927</v>
      </c>
    </row>
    <row r="503" spans="1:15" x14ac:dyDescent="0.3">
      <c r="A503" s="3" t="s">
        <v>708</v>
      </c>
      <c r="B503" t="str">
        <f t="shared" ca="1" si="72"/>
        <v>Ms. Pooja Patel</v>
      </c>
      <c r="C503">
        <f t="shared" ca="1" si="73"/>
        <v>44</v>
      </c>
      <c r="D503" t="str">
        <f t="shared" ca="1" si="74"/>
        <v>Female</v>
      </c>
      <c r="E503">
        <f t="shared" ca="1" si="75"/>
        <v>966563</v>
      </c>
      <c r="F503">
        <f t="shared" ca="1" si="76"/>
        <v>270444</v>
      </c>
      <c r="G503">
        <f t="shared" ca="1" si="77"/>
        <v>72</v>
      </c>
      <c r="H503">
        <f t="shared" ca="1" si="78"/>
        <v>843</v>
      </c>
      <c r="I503" t="str">
        <f t="shared" ca="1" si="79"/>
        <v>Business</v>
      </c>
      <c r="J503" t="str">
        <f t="shared" ca="1" si="80"/>
        <v>Personal</v>
      </c>
      <c r="K503" t="str">
        <f t="shared" ca="1" si="81"/>
        <v>Approved</v>
      </c>
      <c r="L503">
        <f t="shared" si="68"/>
        <v>971</v>
      </c>
      <c r="M503">
        <f t="shared" ca="1" si="69"/>
        <v>612</v>
      </c>
      <c r="N503">
        <f t="shared" ca="1" si="70"/>
        <v>292</v>
      </c>
      <c r="O503" s="2">
        <f t="shared" ca="1" si="71"/>
        <v>0.63027806385169927</v>
      </c>
    </row>
    <row r="504" spans="1:15" x14ac:dyDescent="0.3">
      <c r="A504" s="3" t="s">
        <v>709</v>
      </c>
      <c r="B504" t="str">
        <f t="shared" ca="1" si="72"/>
        <v>Ms. Kajal Yadav</v>
      </c>
      <c r="C504">
        <f t="shared" ca="1" si="73"/>
        <v>50</v>
      </c>
      <c r="D504" t="str">
        <f t="shared" ca="1" si="74"/>
        <v>Male</v>
      </c>
      <c r="E504">
        <f t="shared" ca="1" si="75"/>
        <v>822478</v>
      </c>
      <c r="F504">
        <f t="shared" ca="1" si="76"/>
        <v>1532410</v>
      </c>
      <c r="G504">
        <f t="shared" ca="1" si="77"/>
        <v>36</v>
      </c>
      <c r="H504">
        <f t="shared" ca="1" si="78"/>
        <v>483</v>
      </c>
      <c r="I504" t="str">
        <f t="shared" ca="1" si="79"/>
        <v>Business</v>
      </c>
      <c r="J504" t="str">
        <f t="shared" ca="1" si="80"/>
        <v>Car</v>
      </c>
      <c r="K504" t="str">
        <f t="shared" ca="1" si="81"/>
        <v>Approved</v>
      </c>
      <c r="L504">
        <f t="shared" si="68"/>
        <v>971</v>
      </c>
      <c r="M504">
        <f t="shared" ca="1" si="69"/>
        <v>612</v>
      </c>
      <c r="N504">
        <f t="shared" ca="1" si="70"/>
        <v>292</v>
      </c>
      <c r="O504" s="2">
        <f t="shared" ca="1" si="71"/>
        <v>0.63027806385169927</v>
      </c>
    </row>
    <row r="505" spans="1:15" x14ac:dyDescent="0.3">
      <c r="A505" s="3" t="s">
        <v>710</v>
      </c>
      <c r="B505" t="str">
        <f t="shared" ca="1" si="72"/>
        <v>Ms. Priya Sharma</v>
      </c>
      <c r="C505">
        <f t="shared" ca="1" si="73"/>
        <v>27</v>
      </c>
      <c r="D505" t="str">
        <f t="shared" ca="1" si="74"/>
        <v>Male</v>
      </c>
      <c r="E505">
        <f t="shared" ca="1" si="75"/>
        <v>390418</v>
      </c>
      <c r="F505">
        <f t="shared" ca="1" si="76"/>
        <v>1520475</v>
      </c>
      <c r="G505">
        <f t="shared" ca="1" si="77"/>
        <v>48</v>
      </c>
      <c r="H505">
        <f t="shared" ca="1" si="78"/>
        <v>395</v>
      </c>
      <c r="I505" t="str">
        <f t="shared" ca="1" si="79"/>
        <v>Freelancer</v>
      </c>
      <c r="J505" t="str">
        <f t="shared" ca="1" si="80"/>
        <v>Car</v>
      </c>
      <c r="K505" t="str">
        <f t="shared" ca="1" si="81"/>
        <v>Rejected</v>
      </c>
      <c r="L505">
        <f t="shared" si="68"/>
        <v>971</v>
      </c>
      <c r="M505">
        <f t="shared" ca="1" si="69"/>
        <v>612</v>
      </c>
      <c r="N505">
        <f t="shared" ca="1" si="70"/>
        <v>292</v>
      </c>
      <c r="O505" s="2">
        <f t="shared" ca="1" si="71"/>
        <v>0.63027806385169927</v>
      </c>
    </row>
    <row r="506" spans="1:15" x14ac:dyDescent="0.3">
      <c r="A506" s="3" t="s">
        <v>711</v>
      </c>
      <c r="B506" t="str">
        <f t="shared" ca="1" si="72"/>
        <v>Mr. Amit Das</v>
      </c>
      <c r="C506">
        <f t="shared" ca="1" si="73"/>
        <v>55</v>
      </c>
      <c r="D506" t="str">
        <f t="shared" ca="1" si="74"/>
        <v>Female</v>
      </c>
      <c r="E506">
        <f t="shared" ca="1" si="75"/>
        <v>544308</v>
      </c>
      <c r="F506">
        <f t="shared" ca="1" si="76"/>
        <v>2271874</v>
      </c>
      <c r="G506">
        <f t="shared" ca="1" si="77"/>
        <v>12</v>
      </c>
      <c r="H506">
        <f t="shared" ca="1" si="78"/>
        <v>578</v>
      </c>
      <c r="I506" t="str">
        <f t="shared" ca="1" si="79"/>
        <v>Contract-Based</v>
      </c>
      <c r="J506" t="str">
        <f t="shared" ca="1" si="80"/>
        <v>Business</v>
      </c>
      <c r="K506" t="str">
        <f t="shared" ca="1" si="81"/>
        <v>Approved</v>
      </c>
      <c r="L506">
        <f t="shared" si="68"/>
        <v>971</v>
      </c>
      <c r="M506">
        <f t="shared" ca="1" si="69"/>
        <v>612</v>
      </c>
      <c r="N506">
        <f t="shared" ca="1" si="70"/>
        <v>292</v>
      </c>
      <c r="O506" s="2">
        <f t="shared" ca="1" si="71"/>
        <v>0.63027806385169927</v>
      </c>
    </row>
    <row r="507" spans="1:15" x14ac:dyDescent="0.3">
      <c r="A507" s="3" t="s">
        <v>712</v>
      </c>
      <c r="B507" t="str">
        <f t="shared" ca="1" si="72"/>
        <v>Ms. Anjali Singh</v>
      </c>
      <c r="C507">
        <f t="shared" ca="1" si="73"/>
        <v>54</v>
      </c>
      <c r="D507" t="str">
        <f t="shared" ca="1" si="74"/>
        <v>Male</v>
      </c>
      <c r="E507">
        <f t="shared" ca="1" si="75"/>
        <v>359736</v>
      </c>
      <c r="F507">
        <f t="shared" ca="1" si="76"/>
        <v>2492274</v>
      </c>
      <c r="G507">
        <f t="shared" ca="1" si="77"/>
        <v>48</v>
      </c>
      <c r="H507">
        <f t="shared" ca="1" si="78"/>
        <v>718</v>
      </c>
      <c r="I507" t="str">
        <f t="shared" ca="1" si="79"/>
        <v>Salaried</v>
      </c>
      <c r="J507" t="str">
        <f t="shared" ca="1" si="80"/>
        <v>Personal</v>
      </c>
      <c r="K507" t="str">
        <f t="shared" ca="1" si="81"/>
        <v>Rejected</v>
      </c>
      <c r="L507">
        <f t="shared" si="68"/>
        <v>971</v>
      </c>
      <c r="M507">
        <f t="shared" ca="1" si="69"/>
        <v>612</v>
      </c>
      <c r="N507">
        <f t="shared" ca="1" si="70"/>
        <v>292</v>
      </c>
      <c r="O507" s="2">
        <f t="shared" ca="1" si="71"/>
        <v>0.63027806385169927</v>
      </c>
    </row>
    <row r="508" spans="1:15" x14ac:dyDescent="0.3">
      <c r="A508" s="3" t="s">
        <v>713</v>
      </c>
      <c r="B508" t="str">
        <f t="shared" ca="1" si="72"/>
        <v>Mr. Arun Kumar</v>
      </c>
      <c r="C508">
        <f t="shared" ca="1" si="73"/>
        <v>55</v>
      </c>
      <c r="D508" t="str">
        <f t="shared" ca="1" si="74"/>
        <v>Female</v>
      </c>
      <c r="E508">
        <f t="shared" ca="1" si="75"/>
        <v>683150</v>
      </c>
      <c r="F508">
        <f t="shared" ca="1" si="76"/>
        <v>2135746</v>
      </c>
      <c r="G508">
        <f t="shared" ca="1" si="77"/>
        <v>12</v>
      </c>
      <c r="H508">
        <f t="shared" ca="1" si="78"/>
        <v>373</v>
      </c>
      <c r="I508" t="str">
        <f t="shared" ca="1" si="79"/>
        <v>Freelancer</v>
      </c>
      <c r="J508" t="str">
        <f t="shared" ca="1" si="80"/>
        <v>Car</v>
      </c>
      <c r="K508" t="str">
        <f t="shared" ca="1" si="81"/>
        <v>Rejected</v>
      </c>
      <c r="L508">
        <f t="shared" si="68"/>
        <v>971</v>
      </c>
      <c r="M508">
        <f t="shared" ca="1" si="69"/>
        <v>612</v>
      </c>
      <c r="N508">
        <f t="shared" ca="1" si="70"/>
        <v>292</v>
      </c>
      <c r="O508" s="2">
        <f t="shared" ca="1" si="71"/>
        <v>0.63027806385169927</v>
      </c>
    </row>
    <row r="509" spans="1:15" x14ac:dyDescent="0.3">
      <c r="A509" s="3" t="s">
        <v>714</v>
      </c>
      <c r="B509" t="str">
        <f t="shared" ca="1" si="72"/>
        <v>Ms. Priya Sharma</v>
      </c>
      <c r="C509">
        <f t="shared" ca="1" si="73"/>
        <v>57</v>
      </c>
      <c r="D509" t="str">
        <f t="shared" ca="1" si="74"/>
        <v>Female</v>
      </c>
      <c r="E509">
        <f t="shared" ca="1" si="75"/>
        <v>1181377</v>
      </c>
      <c r="F509">
        <f t="shared" ca="1" si="76"/>
        <v>621272</v>
      </c>
      <c r="G509">
        <f t="shared" ca="1" si="77"/>
        <v>24</v>
      </c>
      <c r="H509">
        <f t="shared" ca="1" si="78"/>
        <v>831</v>
      </c>
      <c r="I509" t="str">
        <f t="shared" ca="1" si="79"/>
        <v>Freelancer</v>
      </c>
      <c r="J509" t="str">
        <f t="shared" ca="1" si="80"/>
        <v>Education</v>
      </c>
      <c r="K509" t="str">
        <f t="shared" ca="1" si="81"/>
        <v>Rejected</v>
      </c>
      <c r="L509">
        <f t="shared" si="68"/>
        <v>971</v>
      </c>
      <c r="M509">
        <f t="shared" ca="1" si="69"/>
        <v>612</v>
      </c>
      <c r="N509">
        <f t="shared" ca="1" si="70"/>
        <v>292</v>
      </c>
      <c r="O509" s="2">
        <f t="shared" ca="1" si="71"/>
        <v>0.63027806385169927</v>
      </c>
    </row>
    <row r="510" spans="1:15" x14ac:dyDescent="0.3">
      <c r="A510" s="3" t="s">
        <v>715</v>
      </c>
      <c r="B510" t="str">
        <f t="shared" ca="1" si="72"/>
        <v>Mr. Arun Kumar</v>
      </c>
      <c r="C510">
        <f t="shared" ca="1" si="73"/>
        <v>40</v>
      </c>
      <c r="D510" t="str">
        <f t="shared" ca="1" si="74"/>
        <v>Male</v>
      </c>
      <c r="E510">
        <f t="shared" ca="1" si="75"/>
        <v>875849</v>
      </c>
      <c r="F510">
        <f t="shared" ca="1" si="76"/>
        <v>1633364</v>
      </c>
      <c r="G510">
        <f t="shared" ca="1" si="77"/>
        <v>12</v>
      </c>
      <c r="H510">
        <f t="shared" ca="1" si="78"/>
        <v>826</v>
      </c>
      <c r="I510" t="str">
        <f t="shared" ca="1" si="79"/>
        <v>Contract-Based</v>
      </c>
      <c r="J510" t="str">
        <f t="shared" ca="1" si="80"/>
        <v>Business</v>
      </c>
      <c r="K510" t="str">
        <f t="shared" ca="1" si="81"/>
        <v>Approved</v>
      </c>
      <c r="L510">
        <f t="shared" si="68"/>
        <v>971</v>
      </c>
      <c r="M510">
        <f t="shared" ca="1" si="69"/>
        <v>612</v>
      </c>
      <c r="N510">
        <f t="shared" ca="1" si="70"/>
        <v>292</v>
      </c>
      <c r="O510" s="2">
        <f t="shared" ca="1" si="71"/>
        <v>0.63027806385169927</v>
      </c>
    </row>
    <row r="511" spans="1:15" x14ac:dyDescent="0.3">
      <c r="A511" s="3" t="s">
        <v>716</v>
      </c>
      <c r="B511" t="str">
        <f t="shared" ca="1" si="72"/>
        <v>Mr. Arun Kumar</v>
      </c>
      <c r="C511">
        <f t="shared" ca="1" si="73"/>
        <v>35</v>
      </c>
      <c r="D511" t="str">
        <f t="shared" ca="1" si="74"/>
        <v>Male</v>
      </c>
      <c r="E511">
        <f t="shared" ca="1" si="75"/>
        <v>428912</v>
      </c>
      <c r="F511">
        <f t="shared" ca="1" si="76"/>
        <v>205126</v>
      </c>
      <c r="G511">
        <f t="shared" ca="1" si="77"/>
        <v>72</v>
      </c>
      <c r="H511">
        <f t="shared" ca="1" si="78"/>
        <v>490</v>
      </c>
      <c r="I511" t="str">
        <f t="shared" ca="1" si="79"/>
        <v>Self-Employed</v>
      </c>
      <c r="J511" t="str">
        <f t="shared" ca="1" si="80"/>
        <v>Personal</v>
      </c>
      <c r="K511" t="str">
        <f t="shared" ca="1" si="81"/>
        <v>Approved</v>
      </c>
      <c r="L511">
        <f t="shared" si="68"/>
        <v>971</v>
      </c>
      <c r="M511">
        <f t="shared" ca="1" si="69"/>
        <v>612</v>
      </c>
      <c r="N511">
        <f t="shared" ca="1" si="70"/>
        <v>292</v>
      </c>
      <c r="O511" s="2">
        <f t="shared" ca="1" si="71"/>
        <v>0.63027806385169927</v>
      </c>
    </row>
    <row r="512" spans="1:15" x14ac:dyDescent="0.3">
      <c r="A512" s="3" t="s">
        <v>717</v>
      </c>
      <c r="B512" t="str">
        <f t="shared" ca="1" si="72"/>
        <v>Mr. Amit Das</v>
      </c>
      <c r="C512">
        <f t="shared" ca="1" si="73"/>
        <v>27</v>
      </c>
      <c r="D512" t="str">
        <f t="shared" ca="1" si="74"/>
        <v>Male</v>
      </c>
      <c r="E512">
        <f t="shared" ca="1" si="75"/>
        <v>1281740</v>
      </c>
      <c r="F512">
        <f t="shared" ca="1" si="76"/>
        <v>1783920</v>
      </c>
      <c r="G512">
        <f t="shared" ca="1" si="77"/>
        <v>36</v>
      </c>
      <c r="H512">
        <f t="shared" ca="1" si="78"/>
        <v>605</v>
      </c>
      <c r="I512" t="str">
        <f t="shared" ca="1" si="79"/>
        <v>Salaried</v>
      </c>
      <c r="J512" t="str">
        <f t="shared" ca="1" si="80"/>
        <v>Education</v>
      </c>
      <c r="K512" t="str">
        <f t="shared" ca="1" si="81"/>
        <v>Approved</v>
      </c>
      <c r="L512">
        <f t="shared" si="68"/>
        <v>971</v>
      </c>
      <c r="M512">
        <f t="shared" ca="1" si="69"/>
        <v>612</v>
      </c>
      <c r="N512">
        <f t="shared" ca="1" si="70"/>
        <v>292</v>
      </c>
      <c r="O512" s="2">
        <f t="shared" ca="1" si="71"/>
        <v>0.63027806385169927</v>
      </c>
    </row>
    <row r="513" spans="1:15" x14ac:dyDescent="0.3">
      <c r="A513" s="3" t="s">
        <v>718</v>
      </c>
      <c r="B513" t="str">
        <f t="shared" ca="1" si="72"/>
        <v>Ms. Pooja Patel</v>
      </c>
      <c r="C513">
        <f t="shared" ca="1" si="73"/>
        <v>21</v>
      </c>
      <c r="D513" t="str">
        <f t="shared" ca="1" si="74"/>
        <v>Male</v>
      </c>
      <c r="E513">
        <f t="shared" ca="1" si="75"/>
        <v>1763677</v>
      </c>
      <c r="F513">
        <f t="shared" ca="1" si="76"/>
        <v>1652580</v>
      </c>
      <c r="G513">
        <f t="shared" ca="1" si="77"/>
        <v>12</v>
      </c>
      <c r="H513">
        <f t="shared" ca="1" si="78"/>
        <v>642</v>
      </c>
      <c r="I513" t="str">
        <f t="shared" ca="1" si="79"/>
        <v>Student</v>
      </c>
      <c r="J513" t="str">
        <f t="shared" ca="1" si="80"/>
        <v>Education</v>
      </c>
      <c r="K513" t="str">
        <f t="shared" ca="1" si="81"/>
        <v>Rejected</v>
      </c>
      <c r="L513">
        <f t="shared" si="68"/>
        <v>971</v>
      </c>
      <c r="M513">
        <f t="shared" ca="1" si="69"/>
        <v>612</v>
      </c>
      <c r="N513">
        <f t="shared" ca="1" si="70"/>
        <v>292</v>
      </c>
      <c r="O513" s="2">
        <f t="shared" ca="1" si="71"/>
        <v>0.63027806385169927</v>
      </c>
    </row>
    <row r="514" spans="1:15" x14ac:dyDescent="0.3">
      <c r="A514" s="3" t="s">
        <v>719</v>
      </c>
      <c r="B514" t="str">
        <f t="shared" ca="1" si="72"/>
        <v>Mr. Raj Kumar</v>
      </c>
      <c r="C514">
        <f t="shared" ca="1" si="73"/>
        <v>24</v>
      </c>
      <c r="D514" t="str">
        <f t="shared" ca="1" si="74"/>
        <v>Female</v>
      </c>
      <c r="E514">
        <f t="shared" ca="1" si="75"/>
        <v>842494</v>
      </c>
      <c r="F514">
        <f t="shared" ca="1" si="76"/>
        <v>1478815</v>
      </c>
      <c r="G514">
        <f t="shared" ca="1" si="77"/>
        <v>24</v>
      </c>
      <c r="H514">
        <f t="shared" ca="1" si="78"/>
        <v>516</v>
      </c>
      <c r="I514" t="str">
        <f t="shared" ca="1" si="79"/>
        <v>Salaried</v>
      </c>
      <c r="J514" t="str">
        <f t="shared" ca="1" si="80"/>
        <v>Car</v>
      </c>
      <c r="K514" t="str">
        <f t="shared" ca="1" si="81"/>
        <v>Approved</v>
      </c>
      <c r="L514">
        <f t="shared" ref="L514:L577" si="82">COUNTA($A$2:$A$1001)</f>
        <v>971</v>
      </c>
      <c r="M514">
        <f t="shared" ca="1" si="69"/>
        <v>612</v>
      </c>
      <c r="N514">
        <f t="shared" ca="1" si="70"/>
        <v>292</v>
      </c>
      <c r="O514" s="2">
        <f t="shared" ca="1" si="71"/>
        <v>0.63027806385169927</v>
      </c>
    </row>
    <row r="515" spans="1:15" x14ac:dyDescent="0.3">
      <c r="A515" s="3" t="s">
        <v>720</v>
      </c>
      <c r="B515" t="str">
        <f t="shared" ca="1" si="72"/>
        <v>Ms. Priya Sharma</v>
      </c>
      <c r="C515">
        <f t="shared" ca="1" si="73"/>
        <v>46</v>
      </c>
      <c r="D515" t="str">
        <f t="shared" ca="1" si="74"/>
        <v>Female</v>
      </c>
      <c r="E515">
        <f t="shared" ca="1" si="75"/>
        <v>1842311</v>
      </c>
      <c r="F515">
        <f t="shared" ca="1" si="76"/>
        <v>1616957</v>
      </c>
      <c r="G515">
        <f t="shared" ca="1" si="77"/>
        <v>84</v>
      </c>
      <c r="H515">
        <f t="shared" ca="1" si="78"/>
        <v>330</v>
      </c>
      <c r="I515" t="str">
        <f t="shared" ca="1" si="79"/>
        <v>Self-Employed</v>
      </c>
      <c r="J515" t="str">
        <f t="shared" ca="1" si="80"/>
        <v>Education</v>
      </c>
      <c r="K515" t="str">
        <f t="shared" ca="1" si="81"/>
        <v>Approved</v>
      </c>
      <c r="L515">
        <f t="shared" si="82"/>
        <v>971</v>
      </c>
      <c r="M515">
        <f t="shared" ref="M515:M578" ca="1" si="83">COUNTIF($K$2:$K$1001,"Approved")</f>
        <v>612</v>
      </c>
      <c r="N515">
        <f t="shared" ref="N515:N578" ca="1" si="84">COUNTIF($K$2:$K$1001,"Rejected")</f>
        <v>292</v>
      </c>
      <c r="O515" s="2">
        <f t="shared" ref="O515:O578" ca="1" si="85">COUNTIF($K$2:$K$1001,"Approved") / COUNTA($A$2:$A$1001)</f>
        <v>0.63027806385169927</v>
      </c>
    </row>
    <row r="516" spans="1:15" x14ac:dyDescent="0.3">
      <c r="A516" s="3" t="s">
        <v>721</v>
      </c>
      <c r="B516" t="str">
        <f t="shared" ca="1" si="72"/>
        <v>Ms. Anjali Singh</v>
      </c>
      <c r="C516">
        <f t="shared" ca="1" si="73"/>
        <v>36</v>
      </c>
      <c r="D516" t="str">
        <f t="shared" ca="1" si="74"/>
        <v>Female</v>
      </c>
      <c r="E516">
        <f t="shared" ca="1" si="75"/>
        <v>605852</v>
      </c>
      <c r="F516">
        <f t="shared" ca="1" si="76"/>
        <v>1997600</v>
      </c>
      <c r="G516">
        <f t="shared" ca="1" si="77"/>
        <v>84</v>
      </c>
      <c r="H516">
        <f t="shared" ca="1" si="78"/>
        <v>413</v>
      </c>
      <c r="I516" t="str">
        <f t="shared" ca="1" si="79"/>
        <v>Freelancer</v>
      </c>
      <c r="J516" t="str">
        <f t="shared" ca="1" si="80"/>
        <v>Home</v>
      </c>
      <c r="K516" t="str">
        <f t="shared" ca="1" si="81"/>
        <v>Rejected</v>
      </c>
      <c r="L516">
        <f t="shared" si="82"/>
        <v>971</v>
      </c>
      <c r="M516">
        <f t="shared" ca="1" si="83"/>
        <v>612</v>
      </c>
      <c r="N516">
        <f t="shared" ca="1" si="84"/>
        <v>292</v>
      </c>
      <c r="O516" s="2">
        <f t="shared" ca="1" si="85"/>
        <v>0.63027806385169927</v>
      </c>
    </row>
    <row r="517" spans="1:15" x14ac:dyDescent="0.3">
      <c r="A517" s="3" t="s">
        <v>722</v>
      </c>
      <c r="B517" t="str">
        <f t="shared" ca="1" si="72"/>
        <v>Mr. Suresh Rao</v>
      </c>
      <c r="C517">
        <f t="shared" ca="1" si="73"/>
        <v>46</v>
      </c>
      <c r="D517" t="str">
        <f t="shared" ca="1" si="74"/>
        <v>Male</v>
      </c>
      <c r="E517">
        <f t="shared" ca="1" si="75"/>
        <v>1708823</v>
      </c>
      <c r="F517">
        <f t="shared" ca="1" si="76"/>
        <v>1263884</v>
      </c>
      <c r="G517">
        <f t="shared" ca="1" si="77"/>
        <v>24</v>
      </c>
      <c r="H517">
        <f t="shared" ca="1" si="78"/>
        <v>801</v>
      </c>
      <c r="I517" t="str">
        <f t="shared" ca="1" si="79"/>
        <v>Salaried</v>
      </c>
      <c r="J517" t="str">
        <f t="shared" ca="1" si="80"/>
        <v>Personal</v>
      </c>
      <c r="K517" t="str">
        <f t="shared" ca="1" si="81"/>
        <v>Approved</v>
      </c>
      <c r="L517">
        <f t="shared" si="82"/>
        <v>971</v>
      </c>
      <c r="M517">
        <f t="shared" ca="1" si="83"/>
        <v>612</v>
      </c>
      <c r="N517">
        <f t="shared" ca="1" si="84"/>
        <v>292</v>
      </c>
      <c r="O517" s="2">
        <f t="shared" ca="1" si="85"/>
        <v>0.63027806385169927</v>
      </c>
    </row>
    <row r="518" spans="1:15" x14ac:dyDescent="0.3">
      <c r="A518" s="3" t="s">
        <v>723</v>
      </c>
      <c r="B518" t="str">
        <f t="shared" ca="1" si="72"/>
        <v>Mr. Rohan Gupta</v>
      </c>
      <c r="C518">
        <f t="shared" ca="1" si="73"/>
        <v>25</v>
      </c>
      <c r="D518" t="str">
        <f t="shared" ca="1" si="74"/>
        <v>Male</v>
      </c>
      <c r="E518">
        <f t="shared" ca="1" si="75"/>
        <v>329373</v>
      </c>
      <c r="F518">
        <f t="shared" ca="1" si="76"/>
        <v>1411538</v>
      </c>
      <c r="G518">
        <f t="shared" ca="1" si="77"/>
        <v>60</v>
      </c>
      <c r="H518">
        <f t="shared" ca="1" si="78"/>
        <v>582</v>
      </c>
      <c r="I518" t="str">
        <f t="shared" ca="1" si="79"/>
        <v>Self-Employed</v>
      </c>
      <c r="J518" t="str">
        <f t="shared" ca="1" si="80"/>
        <v>Business</v>
      </c>
      <c r="K518" t="str">
        <f t="shared" ca="1" si="81"/>
        <v>Rejected</v>
      </c>
      <c r="L518">
        <f t="shared" si="82"/>
        <v>971</v>
      </c>
      <c r="M518">
        <f t="shared" ca="1" si="83"/>
        <v>612</v>
      </c>
      <c r="N518">
        <f t="shared" ca="1" si="84"/>
        <v>292</v>
      </c>
      <c r="O518" s="2">
        <f t="shared" ca="1" si="85"/>
        <v>0.63027806385169927</v>
      </c>
    </row>
    <row r="519" spans="1:15" x14ac:dyDescent="0.3">
      <c r="A519" s="3" t="s">
        <v>724</v>
      </c>
      <c r="B519" t="str">
        <f t="shared" ca="1" si="72"/>
        <v>Mr. Amit Das</v>
      </c>
      <c r="C519">
        <f t="shared" ca="1" si="73"/>
        <v>30</v>
      </c>
      <c r="D519" t="str">
        <f t="shared" ca="1" si="74"/>
        <v>Male</v>
      </c>
      <c r="E519">
        <f t="shared" ca="1" si="75"/>
        <v>505621</v>
      </c>
      <c r="F519">
        <f t="shared" ca="1" si="76"/>
        <v>2469917</v>
      </c>
      <c r="G519">
        <f t="shared" ca="1" si="77"/>
        <v>24</v>
      </c>
      <c r="H519">
        <f t="shared" ca="1" si="78"/>
        <v>310</v>
      </c>
      <c r="I519" t="str">
        <f t="shared" ca="1" si="79"/>
        <v>Salaried</v>
      </c>
      <c r="J519" t="str">
        <f t="shared" ca="1" si="80"/>
        <v>Car</v>
      </c>
      <c r="K519" t="str">
        <f t="shared" ca="1" si="81"/>
        <v>Approved</v>
      </c>
      <c r="L519">
        <f t="shared" si="82"/>
        <v>971</v>
      </c>
      <c r="M519">
        <f t="shared" ca="1" si="83"/>
        <v>612</v>
      </c>
      <c r="N519">
        <f t="shared" ca="1" si="84"/>
        <v>292</v>
      </c>
      <c r="O519" s="2">
        <f t="shared" ca="1" si="85"/>
        <v>0.63027806385169927</v>
      </c>
    </row>
    <row r="520" spans="1:15" x14ac:dyDescent="0.3">
      <c r="A520" s="3" t="s">
        <v>725</v>
      </c>
      <c r="B520" t="str">
        <f t="shared" ca="1" si="72"/>
        <v>Mr. Suresh Rao</v>
      </c>
      <c r="C520">
        <f t="shared" ca="1" si="73"/>
        <v>59</v>
      </c>
      <c r="D520" t="str">
        <f t="shared" ca="1" si="74"/>
        <v>Female</v>
      </c>
      <c r="E520">
        <f t="shared" ca="1" si="75"/>
        <v>1711859</v>
      </c>
      <c r="F520">
        <f t="shared" ca="1" si="76"/>
        <v>1784585</v>
      </c>
      <c r="G520">
        <f t="shared" ca="1" si="77"/>
        <v>72</v>
      </c>
      <c r="H520">
        <f t="shared" ca="1" si="78"/>
        <v>463</v>
      </c>
      <c r="I520" t="str">
        <f t="shared" ca="1" si="79"/>
        <v>Student</v>
      </c>
      <c r="J520" t="str">
        <f t="shared" ca="1" si="80"/>
        <v>Business</v>
      </c>
      <c r="K520" t="str">
        <f t="shared" ca="1" si="81"/>
        <v>Approved</v>
      </c>
      <c r="L520">
        <f t="shared" si="82"/>
        <v>971</v>
      </c>
      <c r="M520">
        <f t="shared" ca="1" si="83"/>
        <v>612</v>
      </c>
      <c r="N520">
        <f t="shared" ca="1" si="84"/>
        <v>292</v>
      </c>
      <c r="O520" s="2">
        <f t="shared" ca="1" si="85"/>
        <v>0.63027806385169927</v>
      </c>
    </row>
    <row r="521" spans="1:15" x14ac:dyDescent="0.3">
      <c r="A521" s="3" t="s">
        <v>726</v>
      </c>
      <c r="B521" t="str">
        <f t="shared" ca="1" si="72"/>
        <v>Ms. Neha Verma</v>
      </c>
      <c r="C521">
        <f t="shared" ca="1" si="73"/>
        <v>39</v>
      </c>
      <c r="D521" t="str">
        <f t="shared" ca="1" si="74"/>
        <v>Female</v>
      </c>
      <c r="E521">
        <f t="shared" ca="1" si="75"/>
        <v>290697</v>
      </c>
      <c r="F521">
        <f t="shared" ca="1" si="76"/>
        <v>1003181</v>
      </c>
      <c r="G521">
        <f t="shared" ca="1" si="77"/>
        <v>24</v>
      </c>
      <c r="H521">
        <f t="shared" ca="1" si="78"/>
        <v>571</v>
      </c>
      <c r="I521" t="str">
        <f t="shared" ca="1" si="79"/>
        <v>Student</v>
      </c>
      <c r="J521" t="str">
        <f t="shared" ca="1" si="80"/>
        <v>Personal</v>
      </c>
      <c r="K521" t="str">
        <f t="shared" ca="1" si="81"/>
        <v>Rejected</v>
      </c>
      <c r="L521">
        <f t="shared" si="82"/>
        <v>971</v>
      </c>
      <c r="M521">
        <f t="shared" ca="1" si="83"/>
        <v>612</v>
      </c>
      <c r="N521">
        <f t="shared" ca="1" si="84"/>
        <v>292</v>
      </c>
      <c r="O521" s="2">
        <f t="shared" ca="1" si="85"/>
        <v>0.63027806385169927</v>
      </c>
    </row>
    <row r="522" spans="1:15" x14ac:dyDescent="0.3">
      <c r="A522" s="3" t="s">
        <v>727</v>
      </c>
      <c r="B522" t="str">
        <f t="shared" ca="1" si="72"/>
        <v>Ms. Priya Sharma</v>
      </c>
      <c r="C522">
        <f t="shared" ca="1" si="73"/>
        <v>32</v>
      </c>
      <c r="D522" t="str">
        <f t="shared" ca="1" si="74"/>
        <v>Male</v>
      </c>
      <c r="E522">
        <f t="shared" ca="1" si="75"/>
        <v>932398</v>
      </c>
      <c r="F522">
        <f t="shared" ca="1" si="76"/>
        <v>314768</v>
      </c>
      <c r="G522">
        <f t="shared" ca="1" si="77"/>
        <v>36</v>
      </c>
      <c r="H522">
        <f t="shared" ca="1" si="78"/>
        <v>698</v>
      </c>
      <c r="I522" t="str">
        <f t="shared" ca="1" si="79"/>
        <v>Freelancer</v>
      </c>
      <c r="J522" t="str">
        <f t="shared" ca="1" si="80"/>
        <v>Home</v>
      </c>
      <c r="K522" t="str">
        <f t="shared" ca="1" si="81"/>
        <v>Approved</v>
      </c>
      <c r="L522">
        <f t="shared" si="82"/>
        <v>971</v>
      </c>
      <c r="M522">
        <f t="shared" ca="1" si="83"/>
        <v>612</v>
      </c>
      <c r="N522">
        <f t="shared" ca="1" si="84"/>
        <v>292</v>
      </c>
      <c r="O522" s="2">
        <f t="shared" ca="1" si="85"/>
        <v>0.63027806385169927</v>
      </c>
    </row>
    <row r="523" spans="1:15" x14ac:dyDescent="0.3">
      <c r="A523" s="3" t="s">
        <v>728</v>
      </c>
      <c r="B523" t="str">
        <f t="shared" ref="B523:B586" ca="1" si="86">CHOOSE(RANDBETWEEN(1,10),
"Mr. Raj Kumar","Ms. Priya Sharma","Mr. Amit Das","Ms. Anjali Singh","Mr. Rohan Gupta",
"Ms. Neha Verma","Mr. Suresh Rao","Ms. Pooja Patel","Mr. Arun Kumar","Ms. Kajal Yadav")</f>
        <v>Ms. Neha Verma</v>
      </c>
      <c r="C523">
        <f t="shared" ref="C523:C586" ca="1" si="87">RANDBETWEEN(21,65)</f>
        <v>23</v>
      </c>
      <c r="D523" t="str">
        <f t="shared" ref="D523:D586" ca="1" si="88">IF(LEFT(B323,3)="Mr.","Male","Female")</f>
        <v>Male</v>
      </c>
      <c r="E523">
        <f t="shared" ref="E523:E586" ca="1" si="89">RANDBETWEEN(200000,2000000)</f>
        <v>403916</v>
      </c>
      <c r="F523">
        <f t="shared" ref="F523:F586" ca="1" si="90">RANDBETWEEN(50000,2500000)</f>
        <v>2436061</v>
      </c>
      <c r="G523">
        <f t="shared" ref="G523:G586" ca="1" si="91">CHOOSE(RANDBETWEEN(1,7),12,24,36,48,60,72,84)</f>
        <v>72</v>
      </c>
      <c r="H523">
        <f t="shared" ref="H523:H586" ca="1" si="92">RANDBETWEEN(300,900)</f>
        <v>308</v>
      </c>
      <c r="I523" t="str">
        <f t="shared" ref="I523:I586" ca="1" si="93">CHOOSE(RANDBETWEEN(1,6),
"Salaried","Self-Employed","Business","Freelancer","Student","Contract-Based")</f>
        <v>Self-Employed</v>
      </c>
      <c r="J523" t="str">
        <f t="shared" ref="J523:J586" ca="1" si="94">CHOOSE(RANDBETWEEN(1,5),
"Home","Car","Education","Business","Personal")</f>
        <v>Car</v>
      </c>
      <c r="K523" t="str">
        <f t="shared" ref="K523:K586" ca="1" si="95">IF(RANDBETWEEN(1,100)&lt;=70,"Approved","Rejected")</f>
        <v>Rejected</v>
      </c>
      <c r="L523">
        <f t="shared" si="82"/>
        <v>971</v>
      </c>
      <c r="M523">
        <f t="shared" ca="1" si="83"/>
        <v>612</v>
      </c>
      <c r="N523">
        <f t="shared" ca="1" si="84"/>
        <v>292</v>
      </c>
      <c r="O523" s="2">
        <f t="shared" ca="1" si="85"/>
        <v>0.63027806385169927</v>
      </c>
    </row>
    <row r="524" spans="1:15" x14ac:dyDescent="0.3">
      <c r="A524" s="3" t="s">
        <v>729</v>
      </c>
      <c r="B524" t="str">
        <f t="shared" ca="1" si="86"/>
        <v>Ms. Anjali Singh</v>
      </c>
      <c r="C524">
        <f t="shared" ca="1" si="87"/>
        <v>29</v>
      </c>
      <c r="D524" t="str">
        <f t="shared" ca="1" si="88"/>
        <v>Male</v>
      </c>
      <c r="E524">
        <f t="shared" ca="1" si="89"/>
        <v>210257</v>
      </c>
      <c r="F524">
        <f t="shared" ca="1" si="90"/>
        <v>2235495</v>
      </c>
      <c r="G524">
        <f t="shared" ca="1" si="91"/>
        <v>72</v>
      </c>
      <c r="H524">
        <f t="shared" ca="1" si="92"/>
        <v>682</v>
      </c>
      <c r="I524" t="str">
        <f t="shared" ca="1" si="93"/>
        <v>Salaried</v>
      </c>
      <c r="J524" t="str">
        <f t="shared" ca="1" si="94"/>
        <v>Education</v>
      </c>
      <c r="K524" t="str">
        <f t="shared" ca="1" si="95"/>
        <v>Approved</v>
      </c>
      <c r="L524">
        <f t="shared" si="82"/>
        <v>971</v>
      </c>
      <c r="M524">
        <f t="shared" ca="1" si="83"/>
        <v>612</v>
      </c>
      <c r="N524">
        <f t="shared" ca="1" si="84"/>
        <v>292</v>
      </c>
      <c r="O524" s="2">
        <f t="shared" ca="1" si="85"/>
        <v>0.63027806385169927</v>
      </c>
    </row>
    <row r="525" spans="1:15" x14ac:dyDescent="0.3">
      <c r="A525" s="3" t="s">
        <v>730</v>
      </c>
      <c r="B525" t="str">
        <f t="shared" ca="1" si="86"/>
        <v>Ms. Pooja Patel</v>
      </c>
      <c r="C525">
        <f t="shared" ca="1" si="87"/>
        <v>55</v>
      </c>
      <c r="D525" t="str">
        <f t="shared" ca="1" si="88"/>
        <v>Male</v>
      </c>
      <c r="E525">
        <f t="shared" ca="1" si="89"/>
        <v>1469843</v>
      </c>
      <c r="F525">
        <f t="shared" ca="1" si="90"/>
        <v>535516</v>
      </c>
      <c r="G525">
        <f t="shared" ca="1" si="91"/>
        <v>84</v>
      </c>
      <c r="H525">
        <f t="shared" ca="1" si="92"/>
        <v>357</v>
      </c>
      <c r="I525" t="str">
        <f t="shared" ca="1" si="93"/>
        <v>Business</v>
      </c>
      <c r="J525" t="str">
        <f t="shared" ca="1" si="94"/>
        <v>Home</v>
      </c>
      <c r="K525" t="str">
        <f t="shared" ca="1" si="95"/>
        <v>Approved</v>
      </c>
      <c r="L525">
        <f t="shared" si="82"/>
        <v>971</v>
      </c>
      <c r="M525">
        <f t="shared" ca="1" si="83"/>
        <v>612</v>
      </c>
      <c r="N525">
        <f t="shared" ca="1" si="84"/>
        <v>292</v>
      </c>
      <c r="O525" s="2">
        <f t="shared" ca="1" si="85"/>
        <v>0.63027806385169927</v>
      </c>
    </row>
    <row r="526" spans="1:15" x14ac:dyDescent="0.3">
      <c r="A526" s="3" t="s">
        <v>731</v>
      </c>
      <c r="B526" t="str">
        <f t="shared" ca="1" si="86"/>
        <v>Mr. Arun Kumar</v>
      </c>
      <c r="C526">
        <f t="shared" ca="1" si="87"/>
        <v>50</v>
      </c>
      <c r="D526" t="str">
        <f t="shared" ca="1" si="88"/>
        <v>Male</v>
      </c>
      <c r="E526">
        <f t="shared" ca="1" si="89"/>
        <v>1489964</v>
      </c>
      <c r="F526">
        <f t="shared" ca="1" si="90"/>
        <v>1846877</v>
      </c>
      <c r="G526">
        <f t="shared" ca="1" si="91"/>
        <v>60</v>
      </c>
      <c r="H526">
        <f t="shared" ca="1" si="92"/>
        <v>876</v>
      </c>
      <c r="I526" t="str">
        <f t="shared" ca="1" si="93"/>
        <v>Business</v>
      </c>
      <c r="J526" t="str">
        <f t="shared" ca="1" si="94"/>
        <v>Education</v>
      </c>
      <c r="K526" t="str">
        <f t="shared" ca="1" si="95"/>
        <v>Approved</v>
      </c>
      <c r="L526">
        <f t="shared" si="82"/>
        <v>971</v>
      </c>
      <c r="M526">
        <f t="shared" ca="1" si="83"/>
        <v>612</v>
      </c>
      <c r="N526">
        <f t="shared" ca="1" si="84"/>
        <v>292</v>
      </c>
      <c r="O526" s="2">
        <f t="shared" ca="1" si="85"/>
        <v>0.63027806385169927</v>
      </c>
    </row>
    <row r="527" spans="1:15" x14ac:dyDescent="0.3">
      <c r="A527" s="3" t="s">
        <v>732</v>
      </c>
      <c r="B527" t="str">
        <f t="shared" ca="1" si="86"/>
        <v>Mr. Rohan Gupta</v>
      </c>
      <c r="C527">
        <f t="shared" ca="1" si="87"/>
        <v>38</v>
      </c>
      <c r="D527" t="str">
        <f t="shared" ca="1" si="88"/>
        <v>Female</v>
      </c>
      <c r="E527">
        <f t="shared" ca="1" si="89"/>
        <v>339332</v>
      </c>
      <c r="F527">
        <f t="shared" ca="1" si="90"/>
        <v>1737735</v>
      </c>
      <c r="G527">
        <f t="shared" ca="1" si="91"/>
        <v>84</v>
      </c>
      <c r="H527">
        <f t="shared" ca="1" si="92"/>
        <v>470</v>
      </c>
      <c r="I527" t="str">
        <f t="shared" ca="1" si="93"/>
        <v>Student</v>
      </c>
      <c r="J527" t="str">
        <f t="shared" ca="1" si="94"/>
        <v>Car</v>
      </c>
      <c r="K527" t="str">
        <f t="shared" ca="1" si="95"/>
        <v>Rejected</v>
      </c>
      <c r="L527">
        <f t="shared" si="82"/>
        <v>971</v>
      </c>
      <c r="M527">
        <f t="shared" ca="1" si="83"/>
        <v>612</v>
      </c>
      <c r="N527">
        <f t="shared" ca="1" si="84"/>
        <v>292</v>
      </c>
      <c r="O527" s="2">
        <f t="shared" ca="1" si="85"/>
        <v>0.63027806385169927</v>
      </c>
    </row>
    <row r="528" spans="1:15" x14ac:dyDescent="0.3">
      <c r="A528" s="3" t="s">
        <v>733</v>
      </c>
      <c r="B528" t="str">
        <f t="shared" ca="1" si="86"/>
        <v>Mr. Amit Das</v>
      </c>
      <c r="C528">
        <f t="shared" ca="1" si="87"/>
        <v>47</v>
      </c>
      <c r="D528" t="str">
        <f t="shared" ca="1" si="88"/>
        <v>Female</v>
      </c>
      <c r="E528">
        <f t="shared" ca="1" si="89"/>
        <v>1198707</v>
      </c>
      <c r="F528">
        <f t="shared" ca="1" si="90"/>
        <v>1954469</v>
      </c>
      <c r="G528">
        <f t="shared" ca="1" si="91"/>
        <v>60</v>
      </c>
      <c r="H528">
        <f t="shared" ca="1" si="92"/>
        <v>459</v>
      </c>
      <c r="I528" t="str">
        <f t="shared" ca="1" si="93"/>
        <v>Freelancer</v>
      </c>
      <c r="J528" t="str">
        <f t="shared" ca="1" si="94"/>
        <v>Car</v>
      </c>
      <c r="K528" t="str">
        <f t="shared" ca="1" si="95"/>
        <v>Rejected</v>
      </c>
      <c r="L528">
        <f t="shared" si="82"/>
        <v>971</v>
      </c>
      <c r="M528">
        <f t="shared" ca="1" si="83"/>
        <v>612</v>
      </c>
      <c r="N528">
        <f t="shared" ca="1" si="84"/>
        <v>292</v>
      </c>
      <c r="O528" s="2">
        <f t="shared" ca="1" si="85"/>
        <v>0.63027806385169927</v>
      </c>
    </row>
    <row r="529" spans="1:15" x14ac:dyDescent="0.3">
      <c r="A529" s="3" t="s">
        <v>734</v>
      </c>
      <c r="B529" t="str">
        <f t="shared" ca="1" si="86"/>
        <v>Mr. Amit Das</v>
      </c>
      <c r="C529">
        <f t="shared" ca="1" si="87"/>
        <v>26</v>
      </c>
      <c r="D529" t="str">
        <f t="shared" ca="1" si="88"/>
        <v>Male</v>
      </c>
      <c r="E529">
        <f t="shared" ca="1" si="89"/>
        <v>1845032</v>
      </c>
      <c r="F529">
        <f t="shared" ca="1" si="90"/>
        <v>654208</v>
      </c>
      <c r="G529">
        <f t="shared" ca="1" si="91"/>
        <v>36</v>
      </c>
      <c r="H529">
        <f t="shared" ca="1" si="92"/>
        <v>378</v>
      </c>
      <c r="I529" t="str">
        <f t="shared" ca="1" si="93"/>
        <v>Contract-Based</v>
      </c>
      <c r="J529" t="str">
        <f t="shared" ca="1" si="94"/>
        <v>Car</v>
      </c>
      <c r="K529" t="str">
        <f t="shared" ca="1" si="95"/>
        <v>Approved</v>
      </c>
      <c r="L529">
        <f t="shared" si="82"/>
        <v>971</v>
      </c>
      <c r="M529">
        <f t="shared" ca="1" si="83"/>
        <v>612</v>
      </c>
      <c r="N529">
        <f t="shared" ca="1" si="84"/>
        <v>292</v>
      </c>
      <c r="O529" s="2">
        <f t="shared" ca="1" si="85"/>
        <v>0.63027806385169927</v>
      </c>
    </row>
    <row r="530" spans="1:15" x14ac:dyDescent="0.3">
      <c r="A530" s="3" t="s">
        <v>735</v>
      </c>
      <c r="B530" t="str">
        <f t="shared" ca="1" si="86"/>
        <v>Ms. Kajal Yadav</v>
      </c>
      <c r="C530">
        <f t="shared" ca="1" si="87"/>
        <v>40</v>
      </c>
      <c r="D530" t="str">
        <f t="shared" ca="1" si="88"/>
        <v>Male</v>
      </c>
      <c r="E530">
        <f t="shared" ca="1" si="89"/>
        <v>510758</v>
      </c>
      <c r="F530">
        <f t="shared" ca="1" si="90"/>
        <v>1947556</v>
      </c>
      <c r="G530">
        <f t="shared" ca="1" si="91"/>
        <v>36</v>
      </c>
      <c r="H530">
        <f t="shared" ca="1" si="92"/>
        <v>858</v>
      </c>
      <c r="I530" t="str">
        <f t="shared" ca="1" si="93"/>
        <v>Student</v>
      </c>
      <c r="J530" t="str">
        <f t="shared" ca="1" si="94"/>
        <v>Education</v>
      </c>
      <c r="K530" t="str">
        <f t="shared" ca="1" si="95"/>
        <v>Rejected</v>
      </c>
      <c r="L530">
        <f t="shared" si="82"/>
        <v>971</v>
      </c>
      <c r="M530">
        <f t="shared" ca="1" si="83"/>
        <v>612</v>
      </c>
      <c r="N530">
        <f t="shared" ca="1" si="84"/>
        <v>292</v>
      </c>
      <c r="O530" s="2">
        <f t="shared" ca="1" si="85"/>
        <v>0.63027806385169927</v>
      </c>
    </row>
    <row r="531" spans="1:15" x14ac:dyDescent="0.3">
      <c r="A531" s="3" t="s">
        <v>736</v>
      </c>
      <c r="B531" t="str">
        <f t="shared" ca="1" si="86"/>
        <v>Ms. Kajal Yadav</v>
      </c>
      <c r="C531">
        <f t="shared" ca="1" si="87"/>
        <v>57</v>
      </c>
      <c r="D531" t="str">
        <f t="shared" ca="1" si="88"/>
        <v>Male</v>
      </c>
      <c r="E531">
        <f t="shared" ca="1" si="89"/>
        <v>746134</v>
      </c>
      <c r="F531">
        <f t="shared" ca="1" si="90"/>
        <v>2438724</v>
      </c>
      <c r="G531">
        <f t="shared" ca="1" si="91"/>
        <v>12</v>
      </c>
      <c r="H531">
        <f t="shared" ca="1" si="92"/>
        <v>848</v>
      </c>
      <c r="I531" t="str">
        <f t="shared" ca="1" si="93"/>
        <v>Self-Employed</v>
      </c>
      <c r="J531" t="str">
        <f t="shared" ca="1" si="94"/>
        <v>Education</v>
      </c>
      <c r="K531" t="str">
        <f t="shared" ca="1" si="95"/>
        <v>Rejected</v>
      </c>
      <c r="L531">
        <f t="shared" si="82"/>
        <v>971</v>
      </c>
      <c r="M531">
        <f t="shared" ca="1" si="83"/>
        <v>612</v>
      </c>
      <c r="N531">
        <f t="shared" ca="1" si="84"/>
        <v>292</v>
      </c>
      <c r="O531" s="2">
        <f t="shared" ca="1" si="85"/>
        <v>0.63027806385169927</v>
      </c>
    </row>
    <row r="532" spans="1:15" x14ac:dyDescent="0.3">
      <c r="A532" s="3" t="s">
        <v>737</v>
      </c>
      <c r="B532" t="str">
        <f t="shared" ca="1" si="86"/>
        <v>Ms. Priya Sharma</v>
      </c>
      <c r="C532">
        <f t="shared" ca="1" si="87"/>
        <v>45</v>
      </c>
      <c r="D532" t="str">
        <f t="shared" ca="1" si="88"/>
        <v>Female</v>
      </c>
      <c r="E532">
        <f t="shared" ca="1" si="89"/>
        <v>988452</v>
      </c>
      <c r="F532">
        <f t="shared" ca="1" si="90"/>
        <v>1879627</v>
      </c>
      <c r="G532">
        <f t="shared" ca="1" si="91"/>
        <v>24</v>
      </c>
      <c r="H532">
        <f t="shared" ca="1" si="92"/>
        <v>519</v>
      </c>
      <c r="I532" t="str">
        <f t="shared" ca="1" si="93"/>
        <v>Freelancer</v>
      </c>
      <c r="J532" t="str">
        <f t="shared" ca="1" si="94"/>
        <v>Personal</v>
      </c>
      <c r="K532" t="str">
        <f t="shared" ca="1" si="95"/>
        <v>Approved</v>
      </c>
      <c r="L532">
        <f t="shared" si="82"/>
        <v>971</v>
      </c>
      <c r="M532">
        <f t="shared" ca="1" si="83"/>
        <v>612</v>
      </c>
      <c r="N532">
        <f t="shared" ca="1" si="84"/>
        <v>292</v>
      </c>
      <c r="O532" s="2">
        <f t="shared" ca="1" si="85"/>
        <v>0.63027806385169927</v>
      </c>
    </row>
    <row r="533" spans="1:15" x14ac:dyDescent="0.3">
      <c r="A533" s="3" t="s">
        <v>738</v>
      </c>
      <c r="B533" t="str">
        <f t="shared" ca="1" si="86"/>
        <v>Mr. Suresh Rao</v>
      </c>
      <c r="C533">
        <f t="shared" ca="1" si="87"/>
        <v>30</v>
      </c>
      <c r="D533" t="str">
        <f t="shared" ca="1" si="88"/>
        <v>Male</v>
      </c>
      <c r="E533">
        <f t="shared" ca="1" si="89"/>
        <v>206117</v>
      </c>
      <c r="F533">
        <f t="shared" ca="1" si="90"/>
        <v>2069385</v>
      </c>
      <c r="G533">
        <f t="shared" ca="1" si="91"/>
        <v>24</v>
      </c>
      <c r="H533">
        <f t="shared" ca="1" si="92"/>
        <v>708</v>
      </c>
      <c r="I533" t="str">
        <f t="shared" ca="1" si="93"/>
        <v>Salaried</v>
      </c>
      <c r="J533" t="str">
        <f t="shared" ca="1" si="94"/>
        <v>Personal</v>
      </c>
      <c r="K533" t="str">
        <f t="shared" ca="1" si="95"/>
        <v>Approved</v>
      </c>
      <c r="L533">
        <f t="shared" si="82"/>
        <v>971</v>
      </c>
      <c r="M533">
        <f t="shared" ca="1" si="83"/>
        <v>612</v>
      </c>
      <c r="N533">
        <f t="shared" ca="1" si="84"/>
        <v>292</v>
      </c>
      <c r="O533" s="2">
        <f t="shared" ca="1" si="85"/>
        <v>0.63027806385169927</v>
      </c>
    </row>
    <row r="534" spans="1:15" x14ac:dyDescent="0.3">
      <c r="A534" s="3" t="s">
        <v>739</v>
      </c>
      <c r="B534" t="str">
        <f t="shared" ca="1" si="86"/>
        <v>Mr. Arun Kumar</v>
      </c>
      <c r="C534">
        <f t="shared" ca="1" si="87"/>
        <v>54</v>
      </c>
      <c r="D534" t="str">
        <f t="shared" ca="1" si="88"/>
        <v>Male</v>
      </c>
      <c r="E534">
        <f t="shared" ca="1" si="89"/>
        <v>1916324</v>
      </c>
      <c r="F534">
        <f t="shared" ca="1" si="90"/>
        <v>330479</v>
      </c>
      <c r="G534">
        <f t="shared" ca="1" si="91"/>
        <v>84</v>
      </c>
      <c r="H534">
        <f t="shared" ca="1" si="92"/>
        <v>608</v>
      </c>
      <c r="I534" t="str">
        <f t="shared" ca="1" si="93"/>
        <v>Freelancer</v>
      </c>
      <c r="J534" t="str">
        <f t="shared" ca="1" si="94"/>
        <v>Business</v>
      </c>
      <c r="K534" t="str">
        <f t="shared" ca="1" si="95"/>
        <v>Approved</v>
      </c>
      <c r="L534">
        <f t="shared" si="82"/>
        <v>971</v>
      </c>
      <c r="M534">
        <f t="shared" ca="1" si="83"/>
        <v>612</v>
      </c>
      <c r="N534">
        <f t="shared" ca="1" si="84"/>
        <v>292</v>
      </c>
      <c r="O534" s="2">
        <f t="shared" ca="1" si="85"/>
        <v>0.63027806385169927</v>
      </c>
    </row>
    <row r="535" spans="1:15" x14ac:dyDescent="0.3">
      <c r="A535" s="3" t="s">
        <v>740</v>
      </c>
      <c r="B535" t="str">
        <f t="shared" ca="1" si="86"/>
        <v>Mr. Raj Kumar</v>
      </c>
      <c r="C535">
        <f t="shared" ca="1" si="87"/>
        <v>37</v>
      </c>
      <c r="D535" t="str">
        <f t="shared" ca="1" si="88"/>
        <v>Female</v>
      </c>
      <c r="E535">
        <f t="shared" ca="1" si="89"/>
        <v>349698</v>
      </c>
      <c r="F535">
        <f t="shared" ca="1" si="90"/>
        <v>2100335</v>
      </c>
      <c r="G535">
        <f t="shared" ca="1" si="91"/>
        <v>48</v>
      </c>
      <c r="H535">
        <f t="shared" ca="1" si="92"/>
        <v>544</v>
      </c>
      <c r="I535" t="str">
        <f t="shared" ca="1" si="93"/>
        <v>Self-Employed</v>
      </c>
      <c r="J535" t="str">
        <f t="shared" ca="1" si="94"/>
        <v>Education</v>
      </c>
      <c r="K535" t="str">
        <f t="shared" ca="1" si="95"/>
        <v>Approved</v>
      </c>
      <c r="L535">
        <f t="shared" si="82"/>
        <v>971</v>
      </c>
      <c r="M535">
        <f t="shared" ca="1" si="83"/>
        <v>612</v>
      </c>
      <c r="N535">
        <f t="shared" ca="1" si="84"/>
        <v>292</v>
      </c>
      <c r="O535" s="2">
        <f t="shared" ca="1" si="85"/>
        <v>0.63027806385169927</v>
      </c>
    </row>
    <row r="536" spans="1:15" x14ac:dyDescent="0.3">
      <c r="A536" s="3" t="s">
        <v>741</v>
      </c>
      <c r="B536" t="str">
        <f t="shared" ca="1" si="86"/>
        <v>Mr. Rohan Gupta</v>
      </c>
      <c r="C536">
        <f t="shared" ca="1" si="87"/>
        <v>62</v>
      </c>
      <c r="D536" t="str">
        <f t="shared" ca="1" si="88"/>
        <v>Female</v>
      </c>
      <c r="E536">
        <f t="shared" ca="1" si="89"/>
        <v>995719</v>
      </c>
      <c r="F536">
        <f t="shared" ca="1" si="90"/>
        <v>910187</v>
      </c>
      <c r="G536">
        <f t="shared" ca="1" si="91"/>
        <v>84</v>
      </c>
      <c r="H536">
        <f t="shared" ca="1" si="92"/>
        <v>805</v>
      </c>
      <c r="I536" t="str">
        <f t="shared" ca="1" si="93"/>
        <v>Student</v>
      </c>
      <c r="J536" t="str">
        <f t="shared" ca="1" si="94"/>
        <v>Business</v>
      </c>
      <c r="K536" t="str">
        <f t="shared" ca="1" si="95"/>
        <v>Rejected</v>
      </c>
      <c r="L536">
        <f t="shared" si="82"/>
        <v>971</v>
      </c>
      <c r="M536">
        <f t="shared" ca="1" si="83"/>
        <v>612</v>
      </c>
      <c r="N536">
        <f t="shared" ca="1" si="84"/>
        <v>292</v>
      </c>
      <c r="O536" s="2">
        <f t="shared" ca="1" si="85"/>
        <v>0.63027806385169927</v>
      </c>
    </row>
    <row r="537" spans="1:15" x14ac:dyDescent="0.3">
      <c r="A537" s="3" t="s">
        <v>742</v>
      </c>
      <c r="B537" t="str">
        <f t="shared" ca="1" si="86"/>
        <v>Mr. Suresh Rao</v>
      </c>
      <c r="C537">
        <f t="shared" ca="1" si="87"/>
        <v>62</v>
      </c>
      <c r="D537" t="str">
        <f t="shared" ca="1" si="88"/>
        <v>Male</v>
      </c>
      <c r="E537">
        <f t="shared" ca="1" si="89"/>
        <v>485097</v>
      </c>
      <c r="F537">
        <f t="shared" ca="1" si="90"/>
        <v>2270155</v>
      </c>
      <c r="G537">
        <f t="shared" ca="1" si="91"/>
        <v>36</v>
      </c>
      <c r="H537">
        <f t="shared" ca="1" si="92"/>
        <v>795</v>
      </c>
      <c r="I537" t="str">
        <f t="shared" ca="1" si="93"/>
        <v>Contract-Based</v>
      </c>
      <c r="J537" t="str">
        <f t="shared" ca="1" si="94"/>
        <v>Home</v>
      </c>
      <c r="K537" t="str">
        <f t="shared" ca="1" si="95"/>
        <v>Approved</v>
      </c>
      <c r="L537">
        <f t="shared" si="82"/>
        <v>971</v>
      </c>
      <c r="M537">
        <f t="shared" ca="1" si="83"/>
        <v>612</v>
      </c>
      <c r="N537">
        <f t="shared" ca="1" si="84"/>
        <v>292</v>
      </c>
      <c r="O537" s="2">
        <f t="shared" ca="1" si="85"/>
        <v>0.63027806385169927</v>
      </c>
    </row>
    <row r="538" spans="1:15" x14ac:dyDescent="0.3">
      <c r="A538" s="3" t="s">
        <v>743</v>
      </c>
      <c r="B538" t="str">
        <f t="shared" ca="1" si="86"/>
        <v>Mr. Amit Das</v>
      </c>
      <c r="C538">
        <f t="shared" ca="1" si="87"/>
        <v>54</v>
      </c>
      <c r="D538" t="str">
        <f t="shared" ca="1" si="88"/>
        <v>Male</v>
      </c>
      <c r="E538">
        <f t="shared" ca="1" si="89"/>
        <v>1339833</v>
      </c>
      <c r="F538">
        <f t="shared" ca="1" si="90"/>
        <v>931193</v>
      </c>
      <c r="G538">
        <f t="shared" ca="1" si="91"/>
        <v>36</v>
      </c>
      <c r="H538">
        <f t="shared" ca="1" si="92"/>
        <v>451</v>
      </c>
      <c r="I538" t="str">
        <f t="shared" ca="1" si="93"/>
        <v>Student</v>
      </c>
      <c r="J538" t="str">
        <f t="shared" ca="1" si="94"/>
        <v>Business</v>
      </c>
      <c r="K538" t="str">
        <f t="shared" ca="1" si="95"/>
        <v>Approved</v>
      </c>
      <c r="L538">
        <f t="shared" si="82"/>
        <v>971</v>
      </c>
      <c r="M538">
        <f t="shared" ca="1" si="83"/>
        <v>612</v>
      </c>
      <c r="N538">
        <f t="shared" ca="1" si="84"/>
        <v>292</v>
      </c>
      <c r="O538" s="2">
        <f t="shared" ca="1" si="85"/>
        <v>0.63027806385169927</v>
      </c>
    </row>
    <row r="539" spans="1:15" x14ac:dyDescent="0.3">
      <c r="A539" s="3" t="s">
        <v>744</v>
      </c>
      <c r="B539" t="str">
        <f t="shared" ca="1" si="86"/>
        <v>Mr. Amit Das</v>
      </c>
      <c r="C539">
        <f t="shared" ca="1" si="87"/>
        <v>22</v>
      </c>
      <c r="D539" t="str">
        <f t="shared" ca="1" si="88"/>
        <v>Female</v>
      </c>
      <c r="E539">
        <f t="shared" ca="1" si="89"/>
        <v>406107</v>
      </c>
      <c r="F539">
        <f t="shared" ca="1" si="90"/>
        <v>245797</v>
      </c>
      <c r="G539">
        <f t="shared" ca="1" si="91"/>
        <v>24</v>
      </c>
      <c r="H539">
        <f t="shared" ca="1" si="92"/>
        <v>890</v>
      </c>
      <c r="I539" t="str">
        <f t="shared" ca="1" si="93"/>
        <v>Student</v>
      </c>
      <c r="J539" t="str">
        <f t="shared" ca="1" si="94"/>
        <v>Personal</v>
      </c>
      <c r="K539" t="str">
        <f t="shared" ca="1" si="95"/>
        <v>Approved</v>
      </c>
      <c r="L539">
        <f t="shared" si="82"/>
        <v>971</v>
      </c>
      <c r="M539">
        <f t="shared" ca="1" si="83"/>
        <v>612</v>
      </c>
      <c r="N539">
        <f t="shared" ca="1" si="84"/>
        <v>292</v>
      </c>
      <c r="O539" s="2">
        <f t="shared" ca="1" si="85"/>
        <v>0.63027806385169927</v>
      </c>
    </row>
    <row r="540" spans="1:15" x14ac:dyDescent="0.3">
      <c r="A540" s="3" t="s">
        <v>745</v>
      </c>
      <c r="B540" t="str">
        <f t="shared" ca="1" si="86"/>
        <v>Mr. Arun Kumar</v>
      </c>
      <c r="C540">
        <f t="shared" ca="1" si="87"/>
        <v>48</v>
      </c>
      <c r="D540" t="str">
        <f t="shared" ca="1" si="88"/>
        <v>Male</v>
      </c>
      <c r="E540">
        <f t="shared" ca="1" si="89"/>
        <v>1465830</v>
      </c>
      <c r="F540">
        <f t="shared" ca="1" si="90"/>
        <v>1741123</v>
      </c>
      <c r="G540">
        <f t="shared" ca="1" si="91"/>
        <v>84</v>
      </c>
      <c r="H540">
        <f t="shared" ca="1" si="92"/>
        <v>462</v>
      </c>
      <c r="I540" t="str">
        <f t="shared" ca="1" si="93"/>
        <v>Contract-Based</v>
      </c>
      <c r="J540" t="str">
        <f t="shared" ca="1" si="94"/>
        <v>Business</v>
      </c>
      <c r="K540" t="str">
        <f t="shared" ca="1" si="95"/>
        <v>Approved</v>
      </c>
      <c r="L540">
        <f t="shared" si="82"/>
        <v>971</v>
      </c>
      <c r="M540">
        <f t="shared" ca="1" si="83"/>
        <v>612</v>
      </c>
      <c r="N540">
        <f t="shared" ca="1" si="84"/>
        <v>292</v>
      </c>
      <c r="O540" s="2">
        <f t="shared" ca="1" si="85"/>
        <v>0.63027806385169927</v>
      </c>
    </row>
    <row r="541" spans="1:15" x14ac:dyDescent="0.3">
      <c r="A541" s="3" t="s">
        <v>746</v>
      </c>
      <c r="B541" t="str">
        <f t="shared" ca="1" si="86"/>
        <v>Mr. Arun Kumar</v>
      </c>
      <c r="C541">
        <f t="shared" ca="1" si="87"/>
        <v>41</v>
      </c>
      <c r="D541" t="str">
        <f t="shared" ca="1" si="88"/>
        <v>Female</v>
      </c>
      <c r="E541">
        <f t="shared" ca="1" si="89"/>
        <v>740425</v>
      </c>
      <c r="F541">
        <f t="shared" ca="1" si="90"/>
        <v>209622</v>
      </c>
      <c r="G541">
        <f t="shared" ca="1" si="91"/>
        <v>48</v>
      </c>
      <c r="H541">
        <f t="shared" ca="1" si="92"/>
        <v>651</v>
      </c>
      <c r="I541" t="str">
        <f t="shared" ca="1" si="93"/>
        <v>Freelancer</v>
      </c>
      <c r="J541" t="str">
        <f t="shared" ca="1" si="94"/>
        <v>Car</v>
      </c>
      <c r="K541" t="str">
        <f t="shared" ca="1" si="95"/>
        <v>Approved</v>
      </c>
      <c r="L541">
        <f t="shared" si="82"/>
        <v>971</v>
      </c>
      <c r="M541">
        <f t="shared" ca="1" si="83"/>
        <v>612</v>
      </c>
      <c r="N541">
        <f t="shared" ca="1" si="84"/>
        <v>292</v>
      </c>
      <c r="O541" s="2">
        <f t="shared" ca="1" si="85"/>
        <v>0.63027806385169927</v>
      </c>
    </row>
    <row r="542" spans="1:15" x14ac:dyDescent="0.3">
      <c r="A542" s="3" t="s">
        <v>747</v>
      </c>
      <c r="B542" t="str">
        <f t="shared" ca="1" si="86"/>
        <v>Mr. Rohan Gupta</v>
      </c>
      <c r="C542">
        <f t="shared" ca="1" si="87"/>
        <v>27</v>
      </c>
      <c r="D542" t="str">
        <f t="shared" ca="1" si="88"/>
        <v>Male</v>
      </c>
      <c r="E542">
        <f t="shared" ca="1" si="89"/>
        <v>1992274</v>
      </c>
      <c r="F542">
        <f t="shared" ca="1" si="90"/>
        <v>1021114</v>
      </c>
      <c r="G542">
        <f t="shared" ca="1" si="91"/>
        <v>60</v>
      </c>
      <c r="H542">
        <f t="shared" ca="1" si="92"/>
        <v>352</v>
      </c>
      <c r="I542" t="str">
        <f t="shared" ca="1" si="93"/>
        <v>Student</v>
      </c>
      <c r="J542" t="str">
        <f t="shared" ca="1" si="94"/>
        <v>Home</v>
      </c>
      <c r="K542" t="str">
        <f t="shared" ca="1" si="95"/>
        <v>Approved</v>
      </c>
      <c r="L542">
        <f t="shared" si="82"/>
        <v>971</v>
      </c>
      <c r="M542">
        <f t="shared" ca="1" si="83"/>
        <v>612</v>
      </c>
      <c r="N542">
        <f t="shared" ca="1" si="84"/>
        <v>292</v>
      </c>
      <c r="O542" s="2">
        <f t="shared" ca="1" si="85"/>
        <v>0.63027806385169927</v>
      </c>
    </row>
    <row r="543" spans="1:15" x14ac:dyDescent="0.3">
      <c r="A543" s="3" t="s">
        <v>748</v>
      </c>
      <c r="B543" t="str">
        <f t="shared" ca="1" si="86"/>
        <v>Mr. Rohan Gupta</v>
      </c>
      <c r="C543">
        <f t="shared" ca="1" si="87"/>
        <v>30</v>
      </c>
      <c r="D543" t="str">
        <f t="shared" ca="1" si="88"/>
        <v>Male</v>
      </c>
      <c r="E543">
        <f t="shared" ca="1" si="89"/>
        <v>1768268</v>
      </c>
      <c r="F543">
        <f t="shared" ca="1" si="90"/>
        <v>1236283</v>
      </c>
      <c r="G543">
        <f t="shared" ca="1" si="91"/>
        <v>60</v>
      </c>
      <c r="H543">
        <f t="shared" ca="1" si="92"/>
        <v>847</v>
      </c>
      <c r="I543" t="str">
        <f t="shared" ca="1" si="93"/>
        <v>Freelancer</v>
      </c>
      <c r="J543" t="str">
        <f t="shared" ca="1" si="94"/>
        <v>Car</v>
      </c>
      <c r="K543" t="str">
        <f t="shared" ca="1" si="95"/>
        <v>Rejected</v>
      </c>
      <c r="L543">
        <f t="shared" si="82"/>
        <v>971</v>
      </c>
      <c r="M543">
        <f t="shared" ca="1" si="83"/>
        <v>612</v>
      </c>
      <c r="N543">
        <f t="shared" ca="1" si="84"/>
        <v>292</v>
      </c>
      <c r="O543" s="2">
        <f t="shared" ca="1" si="85"/>
        <v>0.63027806385169927</v>
      </c>
    </row>
    <row r="544" spans="1:15" x14ac:dyDescent="0.3">
      <c r="A544" s="3" t="s">
        <v>749</v>
      </c>
      <c r="B544" t="str">
        <f t="shared" ca="1" si="86"/>
        <v>Mr. Arun Kumar</v>
      </c>
      <c r="C544">
        <f t="shared" ca="1" si="87"/>
        <v>32</v>
      </c>
      <c r="D544" t="str">
        <f t="shared" ca="1" si="88"/>
        <v>Male</v>
      </c>
      <c r="E544">
        <f t="shared" ca="1" si="89"/>
        <v>385923</v>
      </c>
      <c r="F544">
        <f t="shared" ca="1" si="90"/>
        <v>2121193</v>
      </c>
      <c r="G544">
        <f t="shared" ca="1" si="91"/>
        <v>48</v>
      </c>
      <c r="H544">
        <f t="shared" ca="1" si="92"/>
        <v>588</v>
      </c>
      <c r="I544" t="str">
        <f t="shared" ca="1" si="93"/>
        <v>Salaried</v>
      </c>
      <c r="J544" t="str">
        <f t="shared" ca="1" si="94"/>
        <v>Business</v>
      </c>
      <c r="K544" t="str">
        <f t="shared" ca="1" si="95"/>
        <v>Rejected</v>
      </c>
      <c r="L544">
        <f t="shared" si="82"/>
        <v>971</v>
      </c>
      <c r="M544">
        <f t="shared" ca="1" si="83"/>
        <v>612</v>
      </c>
      <c r="N544">
        <f t="shared" ca="1" si="84"/>
        <v>292</v>
      </c>
      <c r="O544" s="2">
        <f t="shared" ca="1" si="85"/>
        <v>0.63027806385169927</v>
      </c>
    </row>
    <row r="545" spans="1:15" x14ac:dyDescent="0.3">
      <c r="A545" s="3" t="s">
        <v>750</v>
      </c>
      <c r="B545" t="str">
        <f t="shared" ca="1" si="86"/>
        <v>Mr. Suresh Rao</v>
      </c>
      <c r="C545">
        <f t="shared" ca="1" si="87"/>
        <v>23</v>
      </c>
      <c r="D545" t="str">
        <f t="shared" ca="1" si="88"/>
        <v>Male</v>
      </c>
      <c r="E545">
        <f t="shared" ca="1" si="89"/>
        <v>1869469</v>
      </c>
      <c r="F545">
        <f t="shared" ca="1" si="90"/>
        <v>2140613</v>
      </c>
      <c r="G545">
        <f t="shared" ca="1" si="91"/>
        <v>84</v>
      </c>
      <c r="H545">
        <f t="shared" ca="1" si="92"/>
        <v>416</v>
      </c>
      <c r="I545" t="str">
        <f t="shared" ca="1" si="93"/>
        <v>Freelancer</v>
      </c>
      <c r="J545" t="str">
        <f t="shared" ca="1" si="94"/>
        <v>Personal</v>
      </c>
      <c r="K545" t="str">
        <f t="shared" ca="1" si="95"/>
        <v>Approved</v>
      </c>
      <c r="L545">
        <f t="shared" si="82"/>
        <v>971</v>
      </c>
      <c r="M545">
        <f t="shared" ca="1" si="83"/>
        <v>612</v>
      </c>
      <c r="N545">
        <f t="shared" ca="1" si="84"/>
        <v>292</v>
      </c>
      <c r="O545" s="2">
        <f t="shared" ca="1" si="85"/>
        <v>0.63027806385169927</v>
      </c>
    </row>
    <row r="546" spans="1:15" x14ac:dyDescent="0.3">
      <c r="A546" s="3" t="s">
        <v>751</v>
      </c>
      <c r="B546" t="str">
        <f t="shared" ca="1" si="86"/>
        <v>Mr. Amit Das</v>
      </c>
      <c r="C546">
        <f t="shared" ca="1" si="87"/>
        <v>21</v>
      </c>
      <c r="D546" t="str">
        <f t="shared" ca="1" si="88"/>
        <v>Male</v>
      </c>
      <c r="E546">
        <f t="shared" ca="1" si="89"/>
        <v>640004</v>
      </c>
      <c r="F546">
        <f t="shared" ca="1" si="90"/>
        <v>1338678</v>
      </c>
      <c r="G546">
        <f t="shared" ca="1" si="91"/>
        <v>84</v>
      </c>
      <c r="H546">
        <f t="shared" ca="1" si="92"/>
        <v>468</v>
      </c>
      <c r="I546" t="str">
        <f t="shared" ca="1" si="93"/>
        <v>Student</v>
      </c>
      <c r="J546" t="str">
        <f t="shared" ca="1" si="94"/>
        <v>Car</v>
      </c>
      <c r="K546" t="str">
        <f t="shared" ca="1" si="95"/>
        <v>Approved</v>
      </c>
      <c r="L546">
        <f t="shared" si="82"/>
        <v>971</v>
      </c>
      <c r="M546">
        <f t="shared" ca="1" si="83"/>
        <v>612</v>
      </c>
      <c r="N546">
        <f t="shared" ca="1" si="84"/>
        <v>292</v>
      </c>
      <c r="O546" s="2">
        <f t="shared" ca="1" si="85"/>
        <v>0.63027806385169927</v>
      </c>
    </row>
    <row r="547" spans="1:15" x14ac:dyDescent="0.3">
      <c r="A547" s="3" t="s">
        <v>752</v>
      </c>
      <c r="B547" t="str">
        <f t="shared" ca="1" si="86"/>
        <v>Ms. Priya Sharma</v>
      </c>
      <c r="C547">
        <f t="shared" ca="1" si="87"/>
        <v>62</v>
      </c>
      <c r="D547" t="str">
        <f t="shared" ca="1" si="88"/>
        <v>Male</v>
      </c>
      <c r="E547">
        <f t="shared" ca="1" si="89"/>
        <v>1328397</v>
      </c>
      <c r="F547">
        <f t="shared" ca="1" si="90"/>
        <v>798541</v>
      </c>
      <c r="G547">
        <f t="shared" ca="1" si="91"/>
        <v>72</v>
      </c>
      <c r="H547">
        <f t="shared" ca="1" si="92"/>
        <v>636</v>
      </c>
      <c r="I547" t="str">
        <f t="shared" ca="1" si="93"/>
        <v>Student</v>
      </c>
      <c r="J547" t="str">
        <f t="shared" ca="1" si="94"/>
        <v>Car</v>
      </c>
      <c r="K547" t="str">
        <f t="shared" ca="1" si="95"/>
        <v>Approved</v>
      </c>
      <c r="L547">
        <f t="shared" si="82"/>
        <v>971</v>
      </c>
      <c r="M547">
        <f t="shared" ca="1" si="83"/>
        <v>612</v>
      </c>
      <c r="N547">
        <f t="shared" ca="1" si="84"/>
        <v>292</v>
      </c>
      <c r="O547" s="2">
        <f t="shared" ca="1" si="85"/>
        <v>0.63027806385169927</v>
      </c>
    </row>
    <row r="548" spans="1:15" x14ac:dyDescent="0.3">
      <c r="A548" s="3" t="s">
        <v>753</v>
      </c>
      <c r="B548" t="str">
        <f t="shared" ca="1" si="86"/>
        <v>Ms. Neha Verma</v>
      </c>
      <c r="C548">
        <f t="shared" ca="1" si="87"/>
        <v>34</v>
      </c>
      <c r="D548" t="str">
        <f t="shared" ca="1" si="88"/>
        <v>Female</v>
      </c>
      <c r="E548">
        <f t="shared" ca="1" si="89"/>
        <v>218234</v>
      </c>
      <c r="F548">
        <f t="shared" ca="1" si="90"/>
        <v>294016</v>
      </c>
      <c r="G548">
        <f t="shared" ca="1" si="91"/>
        <v>48</v>
      </c>
      <c r="H548">
        <f t="shared" ca="1" si="92"/>
        <v>775</v>
      </c>
      <c r="I548" t="str">
        <f t="shared" ca="1" si="93"/>
        <v>Student</v>
      </c>
      <c r="J548" t="str">
        <f t="shared" ca="1" si="94"/>
        <v>Home</v>
      </c>
      <c r="K548" t="str">
        <f t="shared" ca="1" si="95"/>
        <v>Rejected</v>
      </c>
      <c r="L548">
        <f t="shared" si="82"/>
        <v>971</v>
      </c>
      <c r="M548">
        <f t="shared" ca="1" si="83"/>
        <v>612</v>
      </c>
      <c r="N548">
        <f t="shared" ca="1" si="84"/>
        <v>292</v>
      </c>
      <c r="O548" s="2">
        <f t="shared" ca="1" si="85"/>
        <v>0.63027806385169927</v>
      </c>
    </row>
    <row r="549" spans="1:15" x14ac:dyDescent="0.3">
      <c r="A549" s="3" t="s">
        <v>754</v>
      </c>
      <c r="B549" t="str">
        <f t="shared" ca="1" si="86"/>
        <v>Mr. Arun Kumar</v>
      </c>
      <c r="C549">
        <f t="shared" ca="1" si="87"/>
        <v>23</v>
      </c>
      <c r="D549" t="str">
        <f t="shared" ca="1" si="88"/>
        <v>Male</v>
      </c>
      <c r="E549">
        <f t="shared" ca="1" si="89"/>
        <v>1633732</v>
      </c>
      <c r="F549">
        <f t="shared" ca="1" si="90"/>
        <v>2129631</v>
      </c>
      <c r="G549">
        <f t="shared" ca="1" si="91"/>
        <v>72</v>
      </c>
      <c r="H549">
        <f t="shared" ca="1" si="92"/>
        <v>897</v>
      </c>
      <c r="I549" t="str">
        <f t="shared" ca="1" si="93"/>
        <v>Freelancer</v>
      </c>
      <c r="J549" t="str">
        <f t="shared" ca="1" si="94"/>
        <v>Car</v>
      </c>
      <c r="K549" t="str">
        <f t="shared" ca="1" si="95"/>
        <v>Rejected</v>
      </c>
      <c r="L549">
        <f t="shared" si="82"/>
        <v>971</v>
      </c>
      <c r="M549">
        <f t="shared" ca="1" si="83"/>
        <v>612</v>
      </c>
      <c r="N549">
        <f t="shared" ca="1" si="84"/>
        <v>292</v>
      </c>
      <c r="O549" s="2">
        <f t="shared" ca="1" si="85"/>
        <v>0.63027806385169927</v>
      </c>
    </row>
    <row r="550" spans="1:15" x14ac:dyDescent="0.3">
      <c r="A550" s="3" t="s">
        <v>755</v>
      </c>
      <c r="B550" t="str">
        <f t="shared" ca="1" si="86"/>
        <v>Ms. Pooja Patel</v>
      </c>
      <c r="C550">
        <f t="shared" ca="1" si="87"/>
        <v>59</v>
      </c>
      <c r="D550" t="str">
        <f t="shared" ca="1" si="88"/>
        <v>Female</v>
      </c>
      <c r="E550">
        <f t="shared" ca="1" si="89"/>
        <v>1509479</v>
      </c>
      <c r="F550">
        <f t="shared" ca="1" si="90"/>
        <v>1762276</v>
      </c>
      <c r="G550">
        <f t="shared" ca="1" si="91"/>
        <v>84</v>
      </c>
      <c r="H550">
        <f t="shared" ca="1" si="92"/>
        <v>660</v>
      </c>
      <c r="I550" t="str">
        <f t="shared" ca="1" si="93"/>
        <v>Freelancer</v>
      </c>
      <c r="J550" t="str">
        <f t="shared" ca="1" si="94"/>
        <v>Education</v>
      </c>
      <c r="K550" t="str">
        <f t="shared" ca="1" si="95"/>
        <v>Approved</v>
      </c>
      <c r="L550">
        <f t="shared" si="82"/>
        <v>971</v>
      </c>
      <c r="M550">
        <f t="shared" ca="1" si="83"/>
        <v>612</v>
      </c>
      <c r="N550">
        <f t="shared" ca="1" si="84"/>
        <v>292</v>
      </c>
      <c r="O550" s="2">
        <f t="shared" ca="1" si="85"/>
        <v>0.63027806385169927</v>
      </c>
    </row>
    <row r="551" spans="1:15" x14ac:dyDescent="0.3">
      <c r="A551" s="3" t="s">
        <v>756</v>
      </c>
      <c r="B551" t="str">
        <f t="shared" ca="1" si="86"/>
        <v>Ms. Kajal Yadav</v>
      </c>
      <c r="C551">
        <f t="shared" ca="1" si="87"/>
        <v>28</v>
      </c>
      <c r="D551" t="str">
        <f t="shared" ca="1" si="88"/>
        <v>Female</v>
      </c>
      <c r="E551">
        <f t="shared" ca="1" si="89"/>
        <v>602067</v>
      </c>
      <c r="F551">
        <f t="shared" ca="1" si="90"/>
        <v>1428170</v>
      </c>
      <c r="G551">
        <f t="shared" ca="1" si="91"/>
        <v>36</v>
      </c>
      <c r="H551">
        <f t="shared" ca="1" si="92"/>
        <v>442</v>
      </c>
      <c r="I551" t="str">
        <f t="shared" ca="1" si="93"/>
        <v>Business</v>
      </c>
      <c r="J551" t="str">
        <f t="shared" ca="1" si="94"/>
        <v>Business</v>
      </c>
      <c r="K551" t="str">
        <f t="shared" ca="1" si="95"/>
        <v>Approved</v>
      </c>
      <c r="L551">
        <f t="shared" si="82"/>
        <v>971</v>
      </c>
      <c r="M551">
        <f t="shared" ca="1" si="83"/>
        <v>612</v>
      </c>
      <c r="N551">
        <f t="shared" ca="1" si="84"/>
        <v>292</v>
      </c>
      <c r="O551" s="2">
        <f t="shared" ca="1" si="85"/>
        <v>0.63027806385169927</v>
      </c>
    </row>
    <row r="552" spans="1:15" x14ac:dyDescent="0.3">
      <c r="A552" s="3" t="s">
        <v>757</v>
      </c>
      <c r="B552" t="str">
        <f t="shared" ca="1" si="86"/>
        <v>Ms. Kajal Yadav</v>
      </c>
      <c r="C552">
        <f t="shared" ca="1" si="87"/>
        <v>30</v>
      </c>
      <c r="D552" t="str">
        <f t="shared" ca="1" si="88"/>
        <v>Male</v>
      </c>
      <c r="E552">
        <f t="shared" ca="1" si="89"/>
        <v>784629</v>
      </c>
      <c r="F552">
        <f t="shared" ca="1" si="90"/>
        <v>2445533</v>
      </c>
      <c r="G552">
        <f t="shared" ca="1" si="91"/>
        <v>84</v>
      </c>
      <c r="H552">
        <f t="shared" ca="1" si="92"/>
        <v>577</v>
      </c>
      <c r="I552" t="str">
        <f t="shared" ca="1" si="93"/>
        <v>Salaried</v>
      </c>
      <c r="J552" t="str">
        <f t="shared" ca="1" si="94"/>
        <v>Education</v>
      </c>
      <c r="K552" t="str">
        <f t="shared" ca="1" si="95"/>
        <v>Rejected</v>
      </c>
      <c r="L552">
        <f t="shared" si="82"/>
        <v>971</v>
      </c>
      <c r="M552">
        <f t="shared" ca="1" si="83"/>
        <v>612</v>
      </c>
      <c r="N552">
        <f t="shared" ca="1" si="84"/>
        <v>292</v>
      </c>
      <c r="O552" s="2">
        <f t="shared" ca="1" si="85"/>
        <v>0.63027806385169927</v>
      </c>
    </row>
    <row r="553" spans="1:15" x14ac:dyDescent="0.3">
      <c r="A553" s="3" t="s">
        <v>758</v>
      </c>
      <c r="B553" t="str">
        <f t="shared" ca="1" si="86"/>
        <v>Ms. Kajal Yadav</v>
      </c>
      <c r="C553">
        <f t="shared" ca="1" si="87"/>
        <v>32</v>
      </c>
      <c r="D553" t="str">
        <f t="shared" ca="1" si="88"/>
        <v>Male</v>
      </c>
      <c r="E553">
        <f t="shared" ca="1" si="89"/>
        <v>1849334</v>
      </c>
      <c r="F553">
        <f t="shared" ca="1" si="90"/>
        <v>1061428</v>
      </c>
      <c r="G553">
        <f t="shared" ca="1" si="91"/>
        <v>84</v>
      </c>
      <c r="H553">
        <f t="shared" ca="1" si="92"/>
        <v>314</v>
      </c>
      <c r="I553" t="str">
        <f t="shared" ca="1" si="93"/>
        <v>Freelancer</v>
      </c>
      <c r="J553" t="str">
        <f t="shared" ca="1" si="94"/>
        <v>Car</v>
      </c>
      <c r="K553" t="str">
        <f t="shared" ca="1" si="95"/>
        <v>Approved</v>
      </c>
      <c r="L553">
        <f t="shared" si="82"/>
        <v>971</v>
      </c>
      <c r="M553">
        <f t="shared" ca="1" si="83"/>
        <v>612</v>
      </c>
      <c r="N553">
        <f t="shared" ca="1" si="84"/>
        <v>292</v>
      </c>
      <c r="O553" s="2">
        <f t="shared" ca="1" si="85"/>
        <v>0.63027806385169927</v>
      </c>
    </row>
    <row r="554" spans="1:15" x14ac:dyDescent="0.3">
      <c r="A554" s="3" t="s">
        <v>759</v>
      </c>
      <c r="B554" t="str">
        <f t="shared" ca="1" si="86"/>
        <v>Mr. Raj Kumar</v>
      </c>
      <c r="C554">
        <f t="shared" ca="1" si="87"/>
        <v>30</v>
      </c>
      <c r="D554" t="str">
        <f t="shared" ca="1" si="88"/>
        <v>Female</v>
      </c>
      <c r="E554">
        <f t="shared" ca="1" si="89"/>
        <v>1255652</v>
      </c>
      <c r="F554">
        <f t="shared" ca="1" si="90"/>
        <v>1709063</v>
      </c>
      <c r="G554">
        <f t="shared" ca="1" si="91"/>
        <v>12</v>
      </c>
      <c r="H554">
        <f t="shared" ca="1" si="92"/>
        <v>339</v>
      </c>
      <c r="I554" t="str">
        <f t="shared" ca="1" si="93"/>
        <v>Freelancer</v>
      </c>
      <c r="J554" t="str">
        <f t="shared" ca="1" si="94"/>
        <v>Car</v>
      </c>
      <c r="K554" t="str">
        <f t="shared" ca="1" si="95"/>
        <v>Rejected</v>
      </c>
      <c r="L554">
        <f t="shared" si="82"/>
        <v>971</v>
      </c>
      <c r="M554">
        <f t="shared" ca="1" si="83"/>
        <v>612</v>
      </c>
      <c r="N554">
        <f t="shared" ca="1" si="84"/>
        <v>292</v>
      </c>
      <c r="O554" s="2">
        <f t="shared" ca="1" si="85"/>
        <v>0.63027806385169927</v>
      </c>
    </row>
    <row r="555" spans="1:15" x14ac:dyDescent="0.3">
      <c r="A555" s="3" t="s">
        <v>760</v>
      </c>
      <c r="B555" t="str">
        <f t="shared" ca="1" si="86"/>
        <v>Mr. Rohan Gupta</v>
      </c>
      <c r="C555">
        <f t="shared" ca="1" si="87"/>
        <v>29</v>
      </c>
      <c r="D555" t="str">
        <f t="shared" ca="1" si="88"/>
        <v>Female</v>
      </c>
      <c r="E555">
        <f t="shared" ca="1" si="89"/>
        <v>1570633</v>
      </c>
      <c r="F555">
        <f t="shared" ca="1" si="90"/>
        <v>641907</v>
      </c>
      <c r="G555">
        <f t="shared" ca="1" si="91"/>
        <v>12</v>
      </c>
      <c r="H555">
        <f t="shared" ca="1" si="92"/>
        <v>446</v>
      </c>
      <c r="I555" t="str">
        <f t="shared" ca="1" si="93"/>
        <v>Student</v>
      </c>
      <c r="J555" t="str">
        <f t="shared" ca="1" si="94"/>
        <v>Education</v>
      </c>
      <c r="K555" t="str">
        <f t="shared" ca="1" si="95"/>
        <v>Approved</v>
      </c>
      <c r="L555">
        <f t="shared" si="82"/>
        <v>971</v>
      </c>
      <c r="M555">
        <f t="shared" ca="1" si="83"/>
        <v>612</v>
      </c>
      <c r="N555">
        <f t="shared" ca="1" si="84"/>
        <v>292</v>
      </c>
      <c r="O555" s="2">
        <f t="shared" ca="1" si="85"/>
        <v>0.63027806385169927</v>
      </c>
    </row>
    <row r="556" spans="1:15" x14ac:dyDescent="0.3">
      <c r="A556" s="3" t="s">
        <v>761</v>
      </c>
      <c r="B556" t="str">
        <f t="shared" ca="1" si="86"/>
        <v>Mr. Suresh Rao</v>
      </c>
      <c r="C556">
        <f t="shared" ca="1" si="87"/>
        <v>44</v>
      </c>
      <c r="D556" t="str">
        <f t="shared" ca="1" si="88"/>
        <v>Female</v>
      </c>
      <c r="E556">
        <f t="shared" ca="1" si="89"/>
        <v>1364322</v>
      </c>
      <c r="F556">
        <f t="shared" ca="1" si="90"/>
        <v>2080110</v>
      </c>
      <c r="G556">
        <f t="shared" ca="1" si="91"/>
        <v>60</v>
      </c>
      <c r="H556">
        <f t="shared" ca="1" si="92"/>
        <v>824</v>
      </c>
      <c r="I556" t="str">
        <f t="shared" ca="1" si="93"/>
        <v>Freelancer</v>
      </c>
      <c r="J556" t="str">
        <f t="shared" ca="1" si="94"/>
        <v>Education</v>
      </c>
      <c r="K556" t="str">
        <f t="shared" ca="1" si="95"/>
        <v>Approved</v>
      </c>
      <c r="L556">
        <f t="shared" si="82"/>
        <v>971</v>
      </c>
      <c r="M556">
        <f t="shared" ca="1" si="83"/>
        <v>612</v>
      </c>
      <c r="N556">
        <f t="shared" ca="1" si="84"/>
        <v>292</v>
      </c>
      <c r="O556" s="2">
        <f t="shared" ca="1" si="85"/>
        <v>0.63027806385169927</v>
      </c>
    </row>
    <row r="557" spans="1:15" x14ac:dyDescent="0.3">
      <c r="A557" s="3" t="s">
        <v>762</v>
      </c>
      <c r="B557" t="str">
        <f t="shared" ca="1" si="86"/>
        <v>Ms. Kajal Yadav</v>
      </c>
      <c r="C557">
        <f t="shared" ca="1" si="87"/>
        <v>65</v>
      </c>
      <c r="D557" t="str">
        <f t="shared" ca="1" si="88"/>
        <v>Female</v>
      </c>
      <c r="E557">
        <f t="shared" ca="1" si="89"/>
        <v>1203418</v>
      </c>
      <c r="F557">
        <f t="shared" ca="1" si="90"/>
        <v>327927</v>
      </c>
      <c r="G557">
        <f t="shared" ca="1" si="91"/>
        <v>84</v>
      </c>
      <c r="H557">
        <f t="shared" ca="1" si="92"/>
        <v>597</v>
      </c>
      <c r="I557" t="str">
        <f t="shared" ca="1" si="93"/>
        <v>Self-Employed</v>
      </c>
      <c r="J557" t="str">
        <f t="shared" ca="1" si="94"/>
        <v>Business</v>
      </c>
      <c r="K557" t="str">
        <f t="shared" ca="1" si="95"/>
        <v>Approved</v>
      </c>
      <c r="L557">
        <f t="shared" si="82"/>
        <v>971</v>
      </c>
      <c r="M557">
        <f t="shared" ca="1" si="83"/>
        <v>612</v>
      </c>
      <c r="N557">
        <f t="shared" ca="1" si="84"/>
        <v>292</v>
      </c>
      <c r="O557" s="2">
        <f t="shared" ca="1" si="85"/>
        <v>0.63027806385169927</v>
      </c>
    </row>
    <row r="558" spans="1:15" x14ac:dyDescent="0.3">
      <c r="A558" s="3" t="s">
        <v>763</v>
      </c>
      <c r="B558" t="str">
        <f t="shared" ca="1" si="86"/>
        <v>Ms. Neha Verma</v>
      </c>
      <c r="C558">
        <f t="shared" ca="1" si="87"/>
        <v>44</v>
      </c>
      <c r="D558" t="str">
        <f t="shared" ca="1" si="88"/>
        <v>Female</v>
      </c>
      <c r="E558">
        <f t="shared" ca="1" si="89"/>
        <v>485270</v>
      </c>
      <c r="F558">
        <f t="shared" ca="1" si="90"/>
        <v>1665637</v>
      </c>
      <c r="G558">
        <f t="shared" ca="1" si="91"/>
        <v>12</v>
      </c>
      <c r="H558">
        <f t="shared" ca="1" si="92"/>
        <v>473</v>
      </c>
      <c r="I558" t="str">
        <f t="shared" ca="1" si="93"/>
        <v>Student</v>
      </c>
      <c r="J558" t="str">
        <f t="shared" ca="1" si="94"/>
        <v>Personal</v>
      </c>
      <c r="K558" t="str">
        <f t="shared" ca="1" si="95"/>
        <v>Rejected</v>
      </c>
      <c r="L558">
        <f t="shared" si="82"/>
        <v>971</v>
      </c>
      <c r="M558">
        <f t="shared" ca="1" si="83"/>
        <v>612</v>
      </c>
      <c r="N558">
        <f t="shared" ca="1" si="84"/>
        <v>292</v>
      </c>
      <c r="O558" s="2">
        <f t="shared" ca="1" si="85"/>
        <v>0.63027806385169927</v>
      </c>
    </row>
    <row r="559" spans="1:15" x14ac:dyDescent="0.3">
      <c r="A559" s="3" t="s">
        <v>764</v>
      </c>
      <c r="B559" t="str">
        <f t="shared" ca="1" si="86"/>
        <v>Mr. Rohan Gupta</v>
      </c>
      <c r="C559">
        <f t="shared" ca="1" si="87"/>
        <v>23</v>
      </c>
      <c r="D559" t="str">
        <f t="shared" ca="1" si="88"/>
        <v>Female</v>
      </c>
      <c r="E559">
        <f t="shared" ca="1" si="89"/>
        <v>1812086</v>
      </c>
      <c r="F559">
        <f t="shared" ca="1" si="90"/>
        <v>405244</v>
      </c>
      <c r="G559">
        <f t="shared" ca="1" si="91"/>
        <v>72</v>
      </c>
      <c r="H559">
        <f t="shared" ca="1" si="92"/>
        <v>857</v>
      </c>
      <c r="I559" t="str">
        <f t="shared" ca="1" si="93"/>
        <v>Salaried</v>
      </c>
      <c r="J559" t="str">
        <f t="shared" ca="1" si="94"/>
        <v>Personal</v>
      </c>
      <c r="K559" t="str">
        <f t="shared" ca="1" si="95"/>
        <v>Approved</v>
      </c>
      <c r="L559">
        <f t="shared" si="82"/>
        <v>971</v>
      </c>
      <c r="M559">
        <f t="shared" ca="1" si="83"/>
        <v>612</v>
      </c>
      <c r="N559">
        <f t="shared" ca="1" si="84"/>
        <v>292</v>
      </c>
      <c r="O559" s="2">
        <f t="shared" ca="1" si="85"/>
        <v>0.63027806385169927</v>
      </c>
    </row>
    <row r="560" spans="1:15" x14ac:dyDescent="0.3">
      <c r="A560" s="3" t="s">
        <v>765</v>
      </c>
      <c r="B560" t="str">
        <f t="shared" ca="1" si="86"/>
        <v>Ms. Priya Sharma</v>
      </c>
      <c r="C560">
        <f t="shared" ca="1" si="87"/>
        <v>29</v>
      </c>
      <c r="D560" t="str">
        <f t="shared" ca="1" si="88"/>
        <v>Male</v>
      </c>
      <c r="E560">
        <f t="shared" ca="1" si="89"/>
        <v>1839706</v>
      </c>
      <c r="F560">
        <f t="shared" ca="1" si="90"/>
        <v>135552</v>
      </c>
      <c r="G560">
        <f t="shared" ca="1" si="91"/>
        <v>84</v>
      </c>
      <c r="H560">
        <f t="shared" ca="1" si="92"/>
        <v>757</v>
      </c>
      <c r="I560" t="str">
        <f t="shared" ca="1" si="93"/>
        <v>Contract-Based</v>
      </c>
      <c r="J560" t="str">
        <f t="shared" ca="1" si="94"/>
        <v>Personal</v>
      </c>
      <c r="K560" t="str">
        <f t="shared" ca="1" si="95"/>
        <v>Approved</v>
      </c>
      <c r="L560">
        <f t="shared" si="82"/>
        <v>971</v>
      </c>
      <c r="M560">
        <f t="shared" ca="1" si="83"/>
        <v>612</v>
      </c>
      <c r="N560">
        <f t="shared" ca="1" si="84"/>
        <v>292</v>
      </c>
      <c r="O560" s="2">
        <f t="shared" ca="1" si="85"/>
        <v>0.63027806385169927</v>
      </c>
    </row>
    <row r="561" spans="1:15" x14ac:dyDescent="0.3">
      <c r="A561" s="3" t="s">
        <v>766</v>
      </c>
      <c r="B561" t="str">
        <f t="shared" ca="1" si="86"/>
        <v>Ms. Anjali Singh</v>
      </c>
      <c r="C561">
        <f t="shared" ca="1" si="87"/>
        <v>56</v>
      </c>
      <c r="D561" t="str">
        <f t="shared" ca="1" si="88"/>
        <v>Female</v>
      </c>
      <c r="E561">
        <f t="shared" ca="1" si="89"/>
        <v>1816080</v>
      </c>
      <c r="F561">
        <f t="shared" ca="1" si="90"/>
        <v>455386</v>
      </c>
      <c r="G561">
        <f t="shared" ca="1" si="91"/>
        <v>36</v>
      </c>
      <c r="H561">
        <f t="shared" ca="1" si="92"/>
        <v>480</v>
      </c>
      <c r="I561" t="str">
        <f t="shared" ca="1" si="93"/>
        <v>Student</v>
      </c>
      <c r="J561" t="str">
        <f t="shared" ca="1" si="94"/>
        <v>Personal</v>
      </c>
      <c r="K561" t="str">
        <f t="shared" ca="1" si="95"/>
        <v>Approved</v>
      </c>
      <c r="L561">
        <f t="shared" si="82"/>
        <v>971</v>
      </c>
      <c r="M561">
        <f t="shared" ca="1" si="83"/>
        <v>612</v>
      </c>
      <c r="N561">
        <f t="shared" ca="1" si="84"/>
        <v>292</v>
      </c>
      <c r="O561" s="2">
        <f t="shared" ca="1" si="85"/>
        <v>0.63027806385169927</v>
      </c>
    </row>
    <row r="562" spans="1:15" x14ac:dyDescent="0.3">
      <c r="A562" s="3" t="s">
        <v>767</v>
      </c>
      <c r="B562" t="str">
        <f t="shared" ca="1" si="86"/>
        <v>Ms. Priya Sharma</v>
      </c>
      <c r="C562">
        <f t="shared" ca="1" si="87"/>
        <v>65</v>
      </c>
      <c r="D562" t="str">
        <f t="shared" ca="1" si="88"/>
        <v>Male</v>
      </c>
      <c r="E562">
        <f t="shared" ca="1" si="89"/>
        <v>816464</v>
      </c>
      <c r="F562">
        <f t="shared" ca="1" si="90"/>
        <v>2304941</v>
      </c>
      <c r="G562">
        <f t="shared" ca="1" si="91"/>
        <v>36</v>
      </c>
      <c r="H562">
        <f t="shared" ca="1" si="92"/>
        <v>531</v>
      </c>
      <c r="I562" t="str">
        <f t="shared" ca="1" si="93"/>
        <v>Business</v>
      </c>
      <c r="J562" t="str">
        <f t="shared" ca="1" si="94"/>
        <v>Car</v>
      </c>
      <c r="K562" t="str">
        <f t="shared" ca="1" si="95"/>
        <v>Rejected</v>
      </c>
      <c r="L562">
        <f t="shared" si="82"/>
        <v>971</v>
      </c>
      <c r="M562">
        <f t="shared" ca="1" si="83"/>
        <v>612</v>
      </c>
      <c r="N562">
        <f t="shared" ca="1" si="84"/>
        <v>292</v>
      </c>
      <c r="O562" s="2">
        <f t="shared" ca="1" si="85"/>
        <v>0.63027806385169927</v>
      </c>
    </row>
    <row r="563" spans="1:15" x14ac:dyDescent="0.3">
      <c r="A563" s="3" t="s">
        <v>768</v>
      </c>
      <c r="B563" t="str">
        <f t="shared" ca="1" si="86"/>
        <v>Ms. Pooja Patel</v>
      </c>
      <c r="C563">
        <f t="shared" ca="1" si="87"/>
        <v>52</v>
      </c>
      <c r="D563" t="str">
        <f t="shared" ca="1" si="88"/>
        <v>Male</v>
      </c>
      <c r="E563">
        <f t="shared" ca="1" si="89"/>
        <v>1095338</v>
      </c>
      <c r="F563">
        <f t="shared" ca="1" si="90"/>
        <v>1038965</v>
      </c>
      <c r="G563">
        <f t="shared" ca="1" si="91"/>
        <v>84</v>
      </c>
      <c r="H563">
        <f t="shared" ca="1" si="92"/>
        <v>655</v>
      </c>
      <c r="I563" t="str">
        <f t="shared" ca="1" si="93"/>
        <v>Business</v>
      </c>
      <c r="J563" t="str">
        <f t="shared" ca="1" si="94"/>
        <v>Business</v>
      </c>
      <c r="K563" t="str">
        <f t="shared" ca="1" si="95"/>
        <v>Rejected</v>
      </c>
      <c r="L563">
        <f t="shared" si="82"/>
        <v>971</v>
      </c>
      <c r="M563">
        <f t="shared" ca="1" si="83"/>
        <v>612</v>
      </c>
      <c r="N563">
        <f t="shared" ca="1" si="84"/>
        <v>292</v>
      </c>
      <c r="O563" s="2">
        <f t="shared" ca="1" si="85"/>
        <v>0.63027806385169927</v>
      </c>
    </row>
    <row r="564" spans="1:15" x14ac:dyDescent="0.3">
      <c r="A564" s="3" t="s">
        <v>769</v>
      </c>
      <c r="B564" t="str">
        <f t="shared" ca="1" si="86"/>
        <v>Ms. Priya Sharma</v>
      </c>
      <c r="C564">
        <f t="shared" ca="1" si="87"/>
        <v>57</v>
      </c>
      <c r="D564" t="str">
        <f t="shared" ca="1" si="88"/>
        <v>Female</v>
      </c>
      <c r="E564">
        <f t="shared" ca="1" si="89"/>
        <v>731439</v>
      </c>
      <c r="F564">
        <f t="shared" ca="1" si="90"/>
        <v>1075021</v>
      </c>
      <c r="G564">
        <f t="shared" ca="1" si="91"/>
        <v>24</v>
      </c>
      <c r="H564">
        <f t="shared" ca="1" si="92"/>
        <v>541</v>
      </c>
      <c r="I564" t="str">
        <f t="shared" ca="1" si="93"/>
        <v>Self-Employed</v>
      </c>
      <c r="J564" t="str">
        <f t="shared" ca="1" si="94"/>
        <v>Education</v>
      </c>
      <c r="K564" t="str">
        <f t="shared" ca="1" si="95"/>
        <v>Approved</v>
      </c>
      <c r="L564">
        <f t="shared" si="82"/>
        <v>971</v>
      </c>
      <c r="M564">
        <f t="shared" ca="1" si="83"/>
        <v>612</v>
      </c>
      <c r="N564">
        <f t="shared" ca="1" si="84"/>
        <v>292</v>
      </c>
      <c r="O564" s="2">
        <f t="shared" ca="1" si="85"/>
        <v>0.63027806385169927</v>
      </c>
    </row>
    <row r="565" spans="1:15" x14ac:dyDescent="0.3">
      <c r="A565" s="3" t="s">
        <v>770</v>
      </c>
      <c r="B565" t="str">
        <f t="shared" ca="1" si="86"/>
        <v>Ms. Priya Sharma</v>
      </c>
      <c r="C565">
        <f t="shared" ca="1" si="87"/>
        <v>38</v>
      </c>
      <c r="D565" t="str">
        <f t="shared" ca="1" si="88"/>
        <v>Male</v>
      </c>
      <c r="E565">
        <f t="shared" ca="1" si="89"/>
        <v>326487</v>
      </c>
      <c r="F565">
        <f t="shared" ca="1" si="90"/>
        <v>1390874</v>
      </c>
      <c r="G565">
        <f t="shared" ca="1" si="91"/>
        <v>36</v>
      </c>
      <c r="H565">
        <f t="shared" ca="1" si="92"/>
        <v>498</v>
      </c>
      <c r="I565" t="str">
        <f t="shared" ca="1" si="93"/>
        <v>Student</v>
      </c>
      <c r="J565" t="str">
        <f t="shared" ca="1" si="94"/>
        <v>Business</v>
      </c>
      <c r="K565" t="str">
        <f t="shared" ca="1" si="95"/>
        <v>Rejected</v>
      </c>
      <c r="L565">
        <f t="shared" si="82"/>
        <v>971</v>
      </c>
      <c r="M565">
        <f t="shared" ca="1" si="83"/>
        <v>612</v>
      </c>
      <c r="N565">
        <f t="shared" ca="1" si="84"/>
        <v>292</v>
      </c>
      <c r="O565" s="2">
        <f t="shared" ca="1" si="85"/>
        <v>0.63027806385169927</v>
      </c>
    </row>
    <row r="566" spans="1:15" x14ac:dyDescent="0.3">
      <c r="A566" s="3" t="s">
        <v>771</v>
      </c>
      <c r="B566" t="str">
        <f t="shared" ca="1" si="86"/>
        <v>Mr. Raj Kumar</v>
      </c>
      <c r="C566">
        <f t="shared" ca="1" si="87"/>
        <v>51</v>
      </c>
      <c r="D566" t="str">
        <f t="shared" ca="1" si="88"/>
        <v>Female</v>
      </c>
      <c r="E566">
        <f t="shared" ca="1" si="89"/>
        <v>1457453</v>
      </c>
      <c r="F566">
        <f t="shared" ca="1" si="90"/>
        <v>1159103</v>
      </c>
      <c r="G566">
        <f t="shared" ca="1" si="91"/>
        <v>72</v>
      </c>
      <c r="H566">
        <f t="shared" ca="1" si="92"/>
        <v>314</v>
      </c>
      <c r="I566" t="str">
        <f t="shared" ca="1" si="93"/>
        <v>Salaried</v>
      </c>
      <c r="J566" t="str">
        <f t="shared" ca="1" si="94"/>
        <v>Education</v>
      </c>
      <c r="K566" t="str">
        <f t="shared" ca="1" si="95"/>
        <v>Rejected</v>
      </c>
      <c r="L566">
        <f t="shared" si="82"/>
        <v>971</v>
      </c>
      <c r="M566">
        <f t="shared" ca="1" si="83"/>
        <v>612</v>
      </c>
      <c r="N566">
        <f t="shared" ca="1" si="84"/>
        <v>292</v>
      </c>
      <c r="O566" s="2">
        <f t="shared" ca="1" si="85"/>
        <v>0.63027806385169927</v>
      </c>
    </row>
    <row r="567" spans="1:15" x14ac:dyDescent="0.3">
      <c r="A567" s="3" t="s">
        <v>772</v>
      </c>
      <c r="B567" t="str">
        <f t="shared" ca="1" si="86"/>
        <v>Mr. Raj Kumar</v>
      </c>
      <c r="C567">
        <f t="shared" ca="1" si="87"/>
        <v>38</v>
      </c>
      <c r="D567" t="str">
        <f t="shared" ca="1" si="88"/>
        <v>Male</v>
      </c>
      <c r="E567">
        <f t="shared" ca="1" si="89"/>
        <v>1136524</v>
      </c>
      <c r="F567">
        <f t="shared" ca="1" si="90"/>
        <v>326314</v>
      </c>
      <c r="G567">
        <f t="shared" ca="1" si="91"/>
        <v>60</v>
      </c>
      <c r="H567">
        <f t="shared" ca="1" si="92"/>
        <v>662</v>
      </c>
      <c r="I567" t="str">
        <f t="shared" ca="1" si="93"/>
        <v>Business</v>
      </c>
      <c r="J567" t="str">
        <f t="shared" ca="1" si="94"/>
        <v>Business</v>
      </c>
      <c r="K567" t="str">
        <f t="shared" ca="1" si="95"/>
        <v>Rejected</v>
      </c>
      <c r="L567">
        <f t="shared" si="82"/>
        <v>971</v>
      </c>
      <c r="M567">
        <f t="shared" ca="1" si="83"/>
        <v>612</v>
      </c>
      <c r="N567">
        <f t="shared" ca="1" si="84"/>
        <v>292</v>
      </c>
      <c r="O567" s="2">
        <f t="shared" ca="1" si="85"/>
        <v>0.63027806385169927</v>
      </c>
    </row>
    <row r="568" spans="1:15" x14ac:dyDescent="0.3">
      <c r="A568" s="3" t="s">
        <v>773</v>
      </c>
      <c r="B568" t="str">
        <f t="shared" ca="1" si="86"/>
        <v>Ms. Pooja Patel</v>
      </c>
      <c r="C568">
        <f t="shared" ca="1" si="87"/>
        <v>29</v>
      </c>
      <c r="D568" t="str">
        <f t="shared" ca="1" si="88"/>
        <v>Male</v>
      </c>
      <c r="E568">
        <f t="shared" ca="1" si="89"/>
        <v>1269256</v>
      </c>
      <c r="F568">
        <f t="shared" ca="1" si="90"/>
        <v>1935335</v>
      </c>
      <c r="G568">
        <f t="shared" ca="1" si="91"/>
        <v>48</v>
      </c>
      <c r="H568">
        <f t="shared" ca="1" si="92"/>
        <v>303</v>
      </c>
      <c r="I568" t="str">
        <f t="shared" ca="1" si="93"/>
        <v>Salaried</v>
      </c>
      <c r="J568" t="str">
        <f t="shared" ca="1" si="94"/>
        <v>Car</v>
      </c>
      <c r="K568" t="str">
        <f t="shared" ca="1" si="95"/>
        <v>Approved</v>
      </c>
      <c r="L568">
        <f t="shared" si="82"/>
        <v>971</v>
      </c>
      <c r="M568">
        <f t="shared" ca="1" si="83"/>
        <v>612</v>
      </c>
      <c r="N568">
        <f t="shared" ca="1" si="84"/>
        <v>292</v>
      </c>
      <c r="O568" s="2">
        <f t="shared" ca="1" si="85"/>
        <v>0.63027806385169927</v>
      </c>
    </row>
    <row r="569" spans="1:15" x14ac:dyDescent="0.3">
      <c r="A569" s="3" t="s">
        <v>774</v>
      </c>
      <c r="B569" t="str">
        <f t="shared" ca="1" si="86"/>
        <v>Ms. Priya Sharma</v>
      </c>
      <c r="C569">
        <f t="shared" ca="1" si="87"/>
        <v>25</v>
      </c>
      <c r="D569" t="str">
        <f t="shared" ca="1" si="88"/>
        <v>Female</v>
      </c>
      <c r="E569">
        <f t="shared" ca="1" si="89"/>
        <v>1438580</v>
      </c>
      <c r="F569">
        <f t="shared" ca="1" si="90"/>
        <v>1961367</v>
      </c>
      <c r="G569">
        <f t="shared" ca="1" si="91"/>
        <v>12</v>
      </c>
      <c r="H569">
        <f t="shared" ca="1" si="92"/>
        <v>429</v>
      </c>
      <c r="I569" t="str">
        <f t="shared" ca="1" si="93"/>
        <v>Business</v>
      </c>
      <c r="J569" t="str">
        <f t="shared" ca="1" si="94"/>
        <v>Personal</v>
      </c>
      <c r="K569" t="str">
        <f t="shared" ca="1" si="95"/>
        <v>Approved</v>
      </c>
      <c r="L569">
        <f t="shared" si="82"/>
        <v>971</v>
      </c>
      <c r="M569">
        <f t="shared" ca="1" si="83"/>
        <v>612</v>
      </c>
      <c r="N569">
        <f t="shared" ca="1" si="84"/>
        <v>292</v>
      </c>
      <c r="O569" s="2">
        <f t="shared" ca="1" si="85"/>
        <v>0.63027806385169927</v>
      </c>
    </row>
    <row r="570" spans="1:15" x14ac:dyDescent="0.3">
      <c r="A570" s="3" t="s">
        <v>775</v>
      </c>
      <c r="B570" t="str">
        <f t="shared" ca="1" si="86"/>
        <v>Ms. Pooja Patel</v>
      </c>
      <c r="C570">
        <f t="shared" ca="1" si="87"/>
        <v>62</v>
      </c>
      <c r="D570" t="str">
        <f t="shared" ca="1" si="88"/>
        <v>Female</v>
      </c>
      <c r="E570">
        <f t="shared" ca="1" si="89"/>
        <v>415682</v>
      </c>
      <c r="F570">
        <f t="shared" ca="1" si="90"/>
        <v>876493</v>
      </c>
      <c r="G570">
        <f t="shared" ca="1" si="91"/>
        <v>36</v>
      </c>
      <c r="H570">
        <f t="shared" ca="1" si="92"/>
        <v>819</v>
      </c>
      <c r="I570" t="str">
        <f t="shared" ca="1" si="93"/>
        <v>Salaried</v>
      </c>
      <c r="J570" t="str">
        <f t="shared" ca="1" si="94"/>
        <v>Personal</v>
      </c>
      <c r="K570" t="str">
        <f t="shared" ca="1" si="95"/>
        <v>Approved</v>
      </c>
      <c r="L570">
        <f t="shared" si="82"/>
        <v>971</v>
      </c>
      <c r="M570">
        <f t="shared" ca="1" si="83"/>
        <v>612</v>
      </c>
      <c r="N570">
        <f t="shared" ca="1" si="84"/>
        <v>292</v>
      </c>
      <c r="O570" s="2">
        <f t="shared" ca="1" si="85"/>
        <v>0.63027806385169927</v>
      </c>
    </row>
    <row r="571" spans="1:15" x14ac:dyDescent="0.3">
      <c r="A571" s="3" t="s">
        <v>776</v>
      </c>
      <c r="B571" t="str">
        <f t="shared" ca="1" si="86"/>
        <v>Mr. Arun Kumar</v>
      </c>
      <c r="C571">
        <f t="shared" ca="1" si="87"/>
        <v>46</v>
      </c>
      <c r="D571" t="str">
        <f t="shared" ca="1" si="88"/>
        <v>Female</v>
      </c>
      <c r="E571">
        <f t="shared" ca="1" si="89"/>
        <v>771759</v>
      </c>
      <c r="F571">
        <f t="shared" ca="1" si="90"/>
        <v>152167</v>
      </c>
      <c r="G571">
        <f t="shared" ca="1" si="91"/>
        <v>48</v>
      </c>
      <c r="H571">
        <f t="shared" ca="1" si="92"/>
        <v>592</v>
      </c>
      <c r="I571" t="str">
        <f t="shared" ca="1" si="93"/>
        <v>Salaried</v>
      </c>
      <c r="J571" t="str">
        <f t="shared" ca="1" si="94"/>
        <v>Home</v>
      </c>
      <c r="K571" t="str">
        <f t="shared" ca="1" si="95"/>
        <v>Approved</v>
      </c>
      <c r="L571">
        <f t="shared" si="82"/>
        <v>971</v>
      </c>
      <c r="M571">
        <f t="shared" ca="1" si="83"/>
        <v>612</v>
      </c>
      <c r="N571">
        <f t="shared" ca="1" si="84"/>
        <v>292</v>
      </c>
      <c r="O571" s="2">
        <f t="shared" ca="1" si="85"/>
        <v>0.63027806385169927</v>
      </c>
    </row>
    <row r="572" spans="1:15" x14ac:dyDescent="0.3">
      <c r="A572" s="3" t="s">
        <v>777</v>
      </c>
      <c r="B572" t="str">
        <f t="shared" ca="1" si="86"/>
        <v>Mr. Arun Kumar</v>
      </c>
      <c r="C572">
        <f t="shared" ca="1" si="87"/>
        <v>58</v>
      </c>
      <c r="D572" t="str">
        <f t="shared" ca="1" si="88"/>
        <v>Female</v>
      </c>
      <c r="E572">
        <f t="shared" ca="1" si="89"/>
        <v>1584060</v>
      </c>
      <c r="F572">
        <f t="shared" ca="1" si="90"/>
        <v>1088705</v>
      </c>
      <c r="G572">
        <f t="shared" ca="1" si="91"/>
        <v>24</v>
      </c>
      <c r="H572">
        <f t="shared" ca="1" si="92"/>
        <v>335</v>
      </c>
      <c r="I572" t="str">
        <f t="shared" ca="1" si="93"/>
        <v>Business</v>
      </c>
      <c r="J572" t="str">
        <f t="shared" ca="1" si="94"/>
        <v>Home</v>
      </c>
      <c r="K572" t="str">
        <f t="shared" ca="1" si="95"/>
        <v>Approved</v>
      </c>
      <c r="L572">
        <f t="shared" si="82"/>
        <v>971</v>
      </c>
      <c r="M572">
        <f t="shared" ca="1" si="83"/>
        <v>612</v>
      </c>
      <c r="N572">
        <f t="shared" ca="1" si="84"/>
        <v>292</v>
      </c>
      <c r="O572" s="2">
        <f t="shared" ca="1" si="85"/>
        <v>0.63027806385169927</v>
      </c>
    </row>
    <row r="573" spans="1:15" x14ac:dyDescent="0.3">
      <c r="A573" s="3" t="s">
        <v>778</v>
      </c>
      <c r="B573" t="str">
        <f t="shared" ca="1" si="86"/>
        <v>Ms. Priya Sharma</v>
      </c>
      <c r="C573">
        <f t="shared" ca="1" si="87"/>
        <v>22</v>
      </c>
      <c r="D573" t="str">
        <f t="shared" ca="1" si="88"/>
        <v>Female</v>
      </c>
      <c r="E573">
        <f t="shared" ca="1" si="89"/>
        <v>1875500</v>
      </c>
      <c r="F573">
        <f t="shared" ca="1" si="90"/>
        <v>668094</v>
      </c>
      <c r="G573">
        <f t="shared" ca="1" si="91"/>
        <v>48</v>
      </c>
      <c r="H573">
        <f t="shared" ca="1" si="92"/>
        <v>880</v>
      </c>
      <c r="I573" t="str">
        <f t="shared" ca="1" si="93"/>
        <v>Freelancer</v>
      </c>
      <c r="J573" t="str">
        <f t="shared" ca="1" si="94"/>
        <v>Home</v>
      </c>
      <c r="K573" t="str">
        <f t="shared" ca="1" si="95"/>
        <v>Rejected</v>
      </c>
      <c r="L573">
        <f t="shared" si="82"/>
        <v>971</v>
      </c>
      <c r="M573">
        <f t="shared" ca="1" si="83"/>
        <v>612</v>
      </c>
      <c r="N573">
        <f t="shared" ca="1" si="84"/>
        <v>292</v>
      </c>
      <c r="O573" s="2">
        <f t="shared" ca="1" si="85"/>
        <v>0.63027806385169927</v>
      </c>
    </row>
    <row r="574" spans="1:15" x14ac:dyDescent="0.3">
      <c r="A574" s="3" t="s">
        <v>779</v>
      </c>
      <c r="B574" t="str">
        <f t="shared" ca="1" si="86"/>
        <v>Ms. Priya Sharma</v>
      </c>
      <c r="C574">
        <f t="shared" ca="1" si="87"/>
        <v>31</v>
      </c>
      <c r="D574" t="str">
        <f t="shared" ca="1" si="88"/>
        <v>Female</v>
      </c>
      <c r="E574">
        <f t="shared" ca="1" si="89"/>
        <v>1264856</v>
      </c>
      <c r="F574">
        <f t="shared" ca="1" si="90"/>
        <v>342859</v>
      </c>
      <c r="G574">
        <f t="shared" ca="1" si="91"/>
        <v>36</v>
      </c>
      <c r="H574">
        <f t="shared" ca="1" si="92"/>
        <v>821</v>
      </c>
      <c r="I574" t="str">
        <f t="shared" ca="1" si="93"/>
        <v>Business</v>
      </c>
      <c r="J574" t="str">
        <f t="shared" ca="1" si="94"/>
        <v>Home</v>
      </c>
      <c r="K574" t="str">
        <f t="shared" ca="1" si="95"/>
        <v>Approved</v>
      </c>
      <c r="L574">
        <f t="shared" si="82"/>
        <v>971</v>
      </c>
      <c r="M574">
        <f t="shared" ca="1" si="83"/>
        <v>612</v>
      </c>
      <c r="N574">
        <f t="shared" ca="1" si="84"/>
        <v>292</v>
      </c>
      <c r="O574" s="2">
        <f t="shared" ca="1" si="85"/>
        <v>0.63027806385169927</v>
      </c>
    </row>
    <row r="575" spans="1:15" x14ac:dyDescent="0.3">
      <c r="A575" s="3" t="s">
        <v>780</v>
      </c>
      <c r="B575" t="str">
        <f t="shared" ca="1" si="86"/>
        <v>Ms. Neha Verma</v>
      </c>
      <c r="C575">
        <f t="shared" ca="1" si="87"/>
        <v>38</v>
      </c>
      <c r="D575" t="str">
        <f t="shared" ca="1" si="88"/>
        <v>Female</v>
      </c>
      <c r="E575">
        <f t="shared" ca="1" si="89"/>
        <v>1008212</v>
      </c>
      <c r="F575">
        <f t="shared" ca="1" si="90"/>
        <v>445256</v>
      </c>
      <c r="G575">
        <f t="shared" ca="1" si="91"/>
        <v>48</v>
      </c>
      <c r="H575">
        <f t="shared" ca="1" si="92"/>
        <v>315</v>
      </c>
      <c r="I575" t="str">
        <f t="shared" ca="1" si="93"/>
        <v>Self-Employed</v>
      </c>
      <c r="J575" t="str">
        <f t="shared" ca="1" si="94"/>
        <v>Business</v>
      </c>
      <c r="K575" t="str">
        <f t="shared" ca="1" si="95"/>
        <v>Rejected</v>
      </c>
      <c r="L575">
        <f t="shared" si="82"/>
        <v>971</v>
      </c>
      <c r="M575">
        <f t="shared" ca="1" si="83"/>
        <v>612</v>
      </c>
      <c r="N575">
        <f t="shared" ca="1" si="84"/>
        <v>292</v>
      </c>
      <c r="O575" s="2">
        <f t="shared" ca="1" si="85"/>
        <v>0.63027806385169927</v>
      </c>
    </row>
    <row r="576" spans="1:15" x14ac:dyDescent="0.3">
      <c r="A576" s="3" t="s">
        <v>781</v>
      </c>
      <c r="B576" t="str">
        <f t="shared" ca="1" si="86"/>
        <v>Mr. Suresh Rao</v>
      </c>
      <c r="C576">
        <f t="shared" ca="1" si="87"/>
        <v>55</v>
      </c>
      <c r="D576" t="str">
        <f t="shared" ca="1" si="88"/>
        <v>Male</v>
      </c>
      <c r="E576">
        <f t="shared" ca="1" si="89"/>
        <v>1122835</v>
      </c>
      <c r="F576">
        <f t="shared" ca="1" si="90"/>
        <v>1931375</v>
      </c>
      <c r="G576">
        <f t="shared" ca="1" si="91"/>
        <v>12</v>
      </c>
      <c r="H576">
        <f t="shared" ca="1" si="92"/>
        <v>818</v>
      </c>
      <c r="I576" t="str">
        <f t="shared" ca="1" si="93"/>
        <v>Student</v>
      </c>
      <c r="J576" t="str">
        <f t="shared" ca="1" si="94"/>
        <v>Education</v>
      </c>
      <c r="K576" t="str">
        <f t="shared" ca="1" si="95"/>
        <v>Approved</v>
      </c>
      <c r="L576">
        <f t="shared" si="82"/>
        <v>971</v>
      </c>
      <c r="M576">
        <f t="shared" ca="1" si="83"/>
        <v>612</v>
      </c>
      <c r="N576">
        <f t="shared" ca="1" si="84"/>
        <v>292</v>
      </c>
      <c r="O576" s="2">
        <f t="shared" ca="1" si="85"/>
        <v>0.63027806385169927</v>
      </c>
    </row>
    <row r="577" spans="1:15" x14ac:dyDescent="0.3">
      <c r="A577" s="3" t="s">
        <v>782</v>
      </c>
      <c r="B577" t="str">
        <f t="shared" ca="1" si="86"/>
        <v>Ms. Priya Sharma</v>
      </c>
      <c r="C577">
        <f t="shared" ca="1" si="87"/>
        <v>22</v>
      </c>
      <c r="D577" t="str">
        <f t="shared" ca="1" si="88"/>
        <v>Male</v>
      </c>
      <c r="E577">
        <f t="shared" ca="1" si="89"/>
        <v>952766</v>
      </c>
      <c r="F577">
        <f t="shared" ca="1" si="90"/>
        <v>916065</v>
      </c>
      <c r="G577">
        <f t="shared" ca="1" si="91"/>
        <v>36</v>
      </c>
      <c r="H577">
        <f t="shared" ca="1" si="92"/>
        <v>675</v>
      </c>
      <c r="I577" t="str">
        <f t="shared" ca="1" si="93"/>
        <v>Freelancer</v>
      </c>
      <c r="J577" t="str">
        <f t="shared" ca="1" si="94"/>
        <v>Home</v>
      </c>
      <c r="K577" t="str">
        <f t="shared" ca="1" si="95"/>
        <v>Approved</v>
      </c>
      <c r="L577">
        <f t="shared" si="82"/>
        <v>971</v>
      </c>
      <c r="M577">
        <f t="shared" ca="1" si="83"/>
        <v>612</v>
      </c>
      <c r="N577">
        <f t="shared" ca="1" si="84"/>
        <v>292</v>
      </c>
      <c r="O577" s="2">
        <f t="shared" ca="1" si="85"/>
        <v>0.63027806385169927</v>
      </c>
    </row>
    <row r="578" spans="1:15" x14ac:dyDescent="0.3">
      <c r="A578" s="3" t="s">
        <v>783</v>
      </c>
      <c r="B578" t="str">
        <f t="shared" ca="1" si="86"/>
        <v>Mr. Amit Das</v>
      </c>
      <c r="C578">
        <f t="shared" ca="1" si="87"/>
        <v>58</v>
      </c>
      <c r="D578" t="str">
        <f t="shared" ca="1" si="88"/>
        <v>Female</v>
      </c>
      <c r="E578">
        <f t="shared" ca="1" si="89"/>
        <v>540177</v>
      </c>
      <c r="F578">
        <f t="shared" ca="1" si="90"/>
        <v>429349</v>
      </c>
      <c r="G578">
        <f t="shared" ca="1" si="91"/>
        <v>60</v>
      </c>
      <c r="H578">
        <f t="shared" ca="1" si="92"/>
        <v>519</v>
      </c>
      <c r="I578" t="str">
        <f t="shared" ca="1" si="93"/>
        <v>Freelancer</v>
      </c>
      <c r="J578" t="str">
        <f t="shared" ca="1" si="94"/>
        <v>Car</v>
      </c>
      <c r="K578" t="str">
        <f t="shared" ca="1" si="95"/>
        <v>Approved</v>
      </c>
      <c r="L578">
        <f t="shared" ref="L578:L641" si="96">COUNTA($A$2:$A$1001)</f>
        <v>971</v>
      </c>
      <c r="M578">
        <f t="shared" ca="1" si="83"/>
        <v>612</v>
      </c>
      <c r="N578">
        <f t="shared" ca="1" si="84"/>
        <v>292</v>
      </c>
      <c r="O578" s="2">
        <f t="shared" ca="1" si="85"/>
        <v>0.63027806385169927</v>
      </c>
    </row>
    <row r="579" spans="1:15" x14ac:dyDescent="0.3">
      <c r="A579" s="3" t="s">
        <v>784</v>
      </c>
      <c r="B579" t="str">
        <f t="shared" ca="1" si="86"/>
        <v>Ms. Neha Verma</v>
      </c>
      <c r="C579">
        <f t="shared" ca="1" si="87"/>
        <v>43</v>
      </c>
      <c r="D579" t="str">
        <f t="shared" ca="1" si="88"/>
        <v>Female</v>
      </c>
      <c r="E579">
        <f t="shared" ca="1" si="89"/>
        <v>756162</v>
      </c>
      <c r="F579">
        <f t="shared" ca="1" si="90"/>
        <v>712871</v>
      </c>
      <c r="G579">
        <f t="shared" ca="1" si="91"/>
        <v>36</v>
      </c>
      <c r="H579">
        <f t="shared" ca="1" si="92"/>
        <v>567</v>
      </c>
      <c r="I579" t="str">
        <f t="shared" ca="1" si="93"/>
        <v>Freelancer</v>
      </c>
      <c r="J579" t="str">
        <f t="shared" ca="1" si="94"/>
        <v>Car</v>
      </c>
      <c r="K579" t="str">
        <f t="shared" ca="1" si="95"/>
        <v>Rejected</v>
      </c>
      <c r="L579">
        <f t="shared" si="96"/>
        <v>971</v>
      </c>
      <c r="M579">
        <f t="shared" ref="M579:M642" ca="1" si="97">COUNTIF($K$2:$K$1001,"Approved")</f>
        <v>612</v>
      </c>
      <c r="N579">
        <f t="shared" ref="N579:N642" ca="1" si="98">COUNTIF($K$2:$K$1001,"Rejected")</f>
        <v>292</v>
      </c>
      <c r="O579" s="2">
        <f t="shared" ref="O579:O642" ca="1" si="99">COUNTIF($K$2:$K$1001,"Approved") / COUNTA($A$2:$A$1001)</f>
        <v>0.63027806385169927</v>
      </c>
    </row>
    <row r="580" spans="1:15" x14ac:dyDescent="0.3">
      <c r="A580" s="3" t="s">
        <v>785</v>
      </c>
      <c r="B580" t="str">
        <f t="shared" ca="1" si="86"/>
        <v>Mr. Amit Das</v>
      </c>
      <c r="C580">
        <f t="shared" ca="1" si="87"/>
        <v>57</v>
      </c>
      <c r="D580" t="str">
        <f t="shared" ca="1" si="88"/>
        <v>Male</v>
      </c>
      <c r="E580">
        <f t="shared" ca="1" si="89"/>
        <v>811960</v>
      </c>
      <c r="F580">
        <f t="shared" ca="1" si="90"/>
        <v>2175294</v>
      </c>
      <c r="G580">
        <f t="shared" ca="1" si="91"/>
        <v>48</v>
      </c>
      <c r="H580">
        <f t="shared" ca="1" si="92"/>
        <v>815</v>
      </c>
      <c r="I580" t="str">
        <f t="shared" ca="1" si="93"/>
        <v>Business</v>
      </c>
      <c r="J580" t="str">
        <f t="shared" ca="1" si="94"/>
        <v>Education</v>
      </c>
      <c r="K580" t="str">
        <f t="shared" ca="1" si="95"/>
        <v>Approved</v>
      </c>
      <c r="L580">
        <f t="shared" si="96"/>
        <v>971</v>
      </c>
      <c r="M580">
        <f t="shared" ca="1" si="97"/>
        <v>612</v>
      </c>
      <c r="N580">
        <f t="shared" ca="1" si="98"/>
        <v>292</v>
      </c>
      <c r="O580" s="2">
        <f t="shared" ca="1" si="99"/>
        <v>0.63027806385169927</v>
      </c>
    </row>
    <row r="581" spans="1:15" x14ac:dyDescent="0.3">
      <c r="A581" s="3" t="s">
        <v>786</v>
      </c>
      <c r="B581" t="str">
        <f t="shared" ca="1" si="86"/>
        <v>Mr. Arun Kumar</v>
      </c>
      <c r="C581">
        <f t="shared" ca="1" si="87"/>
        <v>26</v>
      </c>
      <c r="D581" t="str">
        <f t="shared" ca="1" si="88"/>
        <v>Male</v>
      </c>
      <c r="E581">
        <f t="shared" ca="1" si="89"/>
        <v>967394</v>
      </c>
      <c r="F581">
        <f t="shared" ca="1" si="90"/>
        <v>955952</v>
      </c>
      <c r="G581">
        <f t="shared" ca="1" si="91"/>
        <v>84</v>
      </c>
      <c r="H581">
        <f t="shared" ca="1" si="92"/>
        <v>784</v>
      </c>
      <c r="I581" t="str">
        <f t="shared" ca="1" si="93"/>
        <v>Salaried</v>
      </c>
      <c r="J581" t="str">
        <f t="shared" ca="1" si="94"/>
        <v>Car</v>
      </c>
      <c r="K581" t="str">
        <f t="shared" ca="1" si="95"/>
        <v>Approved</v>
      </c>
      <c r="L581">
        <f t="shared" si="96"/>
        <v>971</v>
      </c>
      <c r="M581">
        <f t="shared" ca="1" si="97"/>
        <v>612</v>
      </c>
      <c r="N581">
        <f t="shared" ca="1" si="98"/>
        <v>292</v>
      </c>
      <c r="O581" s="2">
        <f t="shared" ca="1" si="99"/>
        <v>0.63027806385169927</v>
      </c>
    </row>
    <row r="582" spans="1:15" x14ac:dyDescent="0.3">
      <c r="A582" s="3" t="s">
        <v>787</v>
      </c>
      <c r="B582" t="str">
        <f t="shared" ca="1" si="86"/>
        <v>Ms. Priya Sharma</v>
      </c>
      <c r="C582">
        <f t="shared" ca="1" si="87"/>
        <v>54</v>
      </c>
      <c r="D582" t="str">
        <f t="shared" ca="1" si="88"/>
        <v>Female</v>
      </c>
      <c r="E582">
        <f t="shared" ca="1" si="89"/>
        <v>967740</v>
      </c>
      <c r="F582">
        <f t="shared" ca="1" si="90"/>
        <v>2262206</v>
      </c>
      <c r="G582">
        <f t="shared" ca="1" si="91"/>
        <v>36</v>
      </c>
      <c r="H582">
        <f t="shared" ca="1" si="92"/>
        <v>335</v>
      </c>
      <c r="I582" t="str">
        <f t="shared" ca="1" si="93"/>
        <v>Student</v>
      </c>
      <c r="J582" t="str">
        <f t="shared" ca="1" si="94"/>
        <v>Car</v>
      </c>
      <c r="K582" t="str">
        <f t="shared" ca="1" si="95"/>
        <v>Rejected</v>
      </c>
      <c r="L582">
        <f t="shared" si="96"/>
        <v>971</v>
      </c>
      <c r="M582">
        <f t="shared" ca="1" si="97"/>
        <v>612</v>
      </c>
      <c r="N582">
        <f t="shared" ca="1" si="98"/>
        <v>292</v>
      </c>
      <c r="O582" s="2">
        <f t="shared" ca="1" si="99"/>
        <v>0.63027806385169927</v>
      </c>
    </row>
    <row r="583" spans="1:15" x14ac:dyDescent="0.3">
      <c r="A583" s="3" t="s">
        <v>788</v>
      </c>
      <c r="B583" t="str">
        <f t="shared" ca="1" si="86"/>
        <v>Ms. Neha Verma</v>
      </c>
      <c r="C583">
        <f t="shared" ca="1" si="87"/>
        <v>48</v>
      </c>
      <c r="D583" t="str">
        <f t="shared" ca="1" si="88"/>
        <v>Female</v>
      </c>
      <c r="E583">
        <f t="shared" ca="1" si="89"/>
        <v>1694739</v>
      </c>
      <c r="F583">
        <f t="shared" ca="1" si="90"/>
        <v>1179204</v>
      </c>
      <c r="G583">
        <f t="shared" ca="1" si="91"/>
        <v>24</v>
      </c>
      <c r="H583">
        <f t="shared" ca="1" si="92"/>
        <v>319</v>
      </c>
      <c r="I583" t="str">
        <f t="shared" ca="1" si="93"/>
        <v>Contract-Based</v>
      </c>
      <c r="J583" t="str">
        <f t="shared" ca="1" si="94"/>
        <v>Business</v>
      </c>
      <c r="K583" t="str">
        <f t="shared" ca="1" si="95"/>
        <v>Approved</v>
      </c>
      <c r="L583">
        <f t="shared" si="96"/>
        <v>971</v>
      </c>
      <c r="M583">
        <f t="shared" ca="1" si="97"/>
        <v>612</v>
      </c>
      <c r="N583">
        <f t="shared" ca="1" si="98"/>
        <v>292</v>
      </c>
      <c r="O583" s="2">
        <f t="shared" ca="1" si="99"/>
        <v>0.63027806385169927</v>
      </c>
    </row>
    <row r="584" spans="1:15" x14ac:dyDescent="0.3">
      <c r="A584" s="3" t="s">
        <v>789</v>
      </c>
      <c r="B584" t="str">
        <f t="shared" ca="1" si="86"/>
        <v>Ms. Priya Sharma</v>
      </c>
      <c r="C584">
        <f t="shared" ca="1" si="87"/>
        <v>50</v>
      </c>
      <c r="D584" t="str">
        <f t="shared" ca="1" si="88"/>
        <v>Male</v>
      </c>
      <c r="E584">
        <f t="shared" ca="1" si="89"/>
        <v>935148</v>
      </c>
      <c r="F584">
        <f t="shared" ca="1" si="90"/>
        <v>84382</v>
      </c>
      <c r="G584">
        <f t="shared" ca="1" si="91"/>
        <v>24</v>
      </c>
      <c r="H584">
        <f t="shared" ca="1" si="92"/>
        <v>482</v>
      </c>
      <c r="I584" t="str">
        <f t="shared" ca="1" si="93"/>
        <v>Freelancer</v>
      </c>
      <c r="J584" t="str">
        <f t="shared" ca="1" si="94"/>
        <v>Car</v>
      </c>
      <c r="K584" t="str">
        <f t="shared" ca="1" si="95"/>
        <v>Approved</v>
      </c>
      <c r="L584">
        <f t="shared" si="96"/>
        <v>971</v>
      </c>
      <c r="M584">
        <f t="shared" ca="1" si="97"/>
        <v>612</v>
      </c>
      <c r="N584">
        <f t="shared" ca="1" si="98"/>
        <v>292</v>
      </c>
      <c r="O584" s="2">
        <f t="shared" ca="1" si="99"/>
        <v>0.63027806385169927</v>
      </c>
    </row>
    <row r="585" spans="1:15" x14ac:dyDescent="0.3">
      <c r="A585" s="3" t="s">
        <v>790</v>
      </c>
      <c r="B585" t="str">
        <f t="shared" ca="1" si="86"/>
        <v>Mr. Amit Das</v>
      </c>
      <c r="C585">
        <f t="shared" ca="1" si="87"/>
        <v>27</v>
      </c>
      <c r="D585" t="str">
        <f t="shared" ca="1" si="88"/>
        <v>Male</v>
      </c>
      <c r="E585">
        <f t="shared" ca="1" si="89"/>
        <v>1171064</v>
      </c>
      <c r="F585">
        <f t="shared" ca="1" si="90"/>
        <v>2096496</v>
      </c>
      <c r="G585">
        <f t="shared" ca="1" si="91"/>
        <v>24</v>
      </c>
      <c r="H585">
        <f t="shared" ca="1" si="92"/>
        <v>785</v>
      </c>
      <c r="I585" t="str">
        <f t="shared" ca="1" si="93"/>
        <v>Freelancer</v>
      </c>
      <c r="J585" t="str">
        <f t="shared" ca="1" si="94"/>
        <v>Business</v>
      </c>
      <c r="K585" t="str">
        <f t="shared" ca="1" si="95"/>
        <v>Rejected</v>
      </c>
      <c r="L585">
        <f t="shared" si="96"/>
        <v>971</v>
      </c>
      <c r="M585">
        <f t="shared" ca="1" si="97"/>
        <v>612</v>
      </c>
      <c r="N585">
        <f t="shared" ca="1" si="98"/>
        <v>292</v>
      </c>
      <c r="O585" s="2">
        <f t="shared" ca="1" si="99"/>
        <v>0.63027806385169927</v>
      </c>
    </row>
    <row r="586" spans="1:15" x14ac:dyDescent="0.3">
      <c r="A586" s="3" t="s">
        <v>791</v>
      </c>
      <c r="B586" t="str">
        <f t="shared" ca="1" si="86"/>
        <v>Ms. Neha Verma</v>
      </c>
      <c r="C586">
        <f t="shared" ca="1" si="87"/>
        <v>40</v>
      </c>
      <c r="D586" t="str">
        <f t="shared" ca="1" si="88"/>
        <v>Female</v>
      </c>
      <c r="E586">
        <f t="shared" ca="1" si="89"/>
        <v>1097523</v>
      </c>
      <c r="F586">
        <f t="shared" ca="1" si="90"/>
        <v>1306048</v>
      </c>
      <c r="G586">
        <f t="shared" ca="1" si="91"/>
        <v>12</v>
      </c>
      <c r="H586">
        <f t="shared" ca="1" si="92"/>
        <v>719</v>
      </c>
      <c r="I586" t="str">
        <f t="shared" ca="1" si="93"/>
        <v>Freelancer</v>
      </c>
      <c r="J586" t="str">
        <f t="shared" ca="1" si="94"/>
        <v>Home</v>
      </c>
      <c r="K586" t="str">
        <f t="shared" ca="1" si="95"/>
        <v>Approved</v>
      </c>
      <c r="L586">
        <f t="shared" si="96"/>
        <v>971</v>
      </c>
      <c r="M586">
        <f t="shared" ca="1" si="97"/>
        <v>612</v>
      </c>
      <c r="N586">
        <f t="shared" ca="1" si="98"/>
        <v>292</v>
      </c>
      <c r="O586" s="2">
        <f t="shared" ca="1" si="99"/>
        <v>0.63027806385169927</v>
      </c>
    </row>
    <row r="587" spans="1:15" x14ac:dyDescent="0.3">
      <c r="A587" s="3" t="s">
        <v>792</v>
      </c>
      <c r="B587" t="str">
        <f t="shared" ref="B587:B650" ca="1" si="100">CHOOSE(RANDBETWEEN(1,10),
"Mr. Raj Kumar","Ms. Priya Sharma","Mr. Amit Das","Ms. Anjali Singh","Mr. Rohan Gupta",
"Ms. Neha Verma","Mr. Suresh Rao","Ms. Pooja Patel","Mr. Arun Kumar","Ms. Kajal Yadav")</f>
        <v>Mr. Raj Kumar</v>
      </c>
      <c r="C587">
        <f t="shared" ref="C587:C650" ca="1" si="101">RANDBETWEEN(21,65)</f>
        <v>48</v>
      </c>
      <c r="D587" t="str">
        <f t="shared" ref="D587:D650" ca="1" si="102">IF(LEFT(B387,3)="Mr.","Male","Female")</f>
        <v>Male</v>
      </c>
      <c r="E587">
        <f t="shared" ref="E587:E650" ca="1" si="103">RANDBETWEEN(200000,2000000)</f>
        <v>657903</v>
      </c>
      <c r="F587">
        <f t="shared" ref="F587:F650" ca="1" si="104">RANDBETWEEN(50000,2500000)</f>
        <v>1106622</v>
      </c>
      <c r="G587">
        <f t="shared" ref="G587:G650" ca="1" si="105">CHOOSE(RANDBETWEEN(1,7),12,24,36,48,60,72,84)</f>
        <v>24</v>
      </c>
      <c r="H587">
        <f t="shared" ref="H587:H650" ca="1" si="106">RANDBETWEEN(300,900)</f>
        <v>392</v>
      </c>
      <c r="I587" t="str">
        <f t="shared" ref="I587:I650" ca="1" si="107">CHOOSE(RANDBETWEEN(1,6),
"Salaried","Self-Employed","Business","Freelancer","Student","Contract-Based")</f>
        <v>Contract-Based</v>
      </c>
      <c r="J587" t="str">
        <f t="shared" ref="J587:J650" ca="1" si="108">CHOOSE(RANDBETWEEN(1,5),
"Home","Car","Education","Business","Personal")</f>
        <v>Education</v>
      </c>
      <c r="K587" t="str">
        <f t="shared" ref="K587:K650" ca="1" si="109">IF(RANDBETWEEN(1,100)&lt;=70,"Approved","Rejected")</f>
        <v>Approved</v>
      </c>
      <c r="L587">
        <f t="shared" si="96"/>
        <v>971</v>
      </c>
      <c r="M587">
        <f t="shared" ca="1" si="97"/>
        <v>612</v>
      </c>
      <c r="N587">
        <f t="shared" ca="1" si="98"/>
        <v>292</v>
      </c>
      <c r="O587" s="2">
        <f t="shared" ca="1" si="99"/>
        <v>0.63027806385169927</v>
      </c>
    </row>
    <row r="588" spans="1:15" x14ac:dyDescent="0.3">
      <c r="A588" s="3" t="s">
        <v>793</v>
      </c>
      <c r="B588" t="str">
        <f t="shared" ca="1" si="100"/>
        <v>Mr. Amit Das</v>
      </c>
      <c r="C588">
        <f t="shared" ca="1" si="101"/>
        <v>22</v>
      </c>
      <c r="D588" t="str">
        <f t="shared" ca="1" si="102"/>
        <v>Female</v>
      </c>
      <c r="E588">
        <f t="shared" ca="1" si="103"/>
        <v>1135745</v>
      </c>
      <c r="F588">
        <f t="shared" ca="1" si="104"/>
        <v>2065825</v>
      </c>
      <c r="G588">
        <f t="shared" ca="1" si="105"/>
        <v>36</v>
      </c>
      <c r="H588">
        <f t="shared" ca="1" si="106"/>
        <v>773</v>
      </c>
      <c r="I588" t="str">
        <f t="shared" ca="1" si="107"/>
        <v>Self-Employed</v>
      </c>
      <c r="J588" t="str">
        <f t="shared" ca="1" si="108"/>
        <v>Education</v>
      </c>
      <c r="K588" t="str">
        <f t="shared" ca="1" si="109"/>
        <v>Approved</v>
      </c>
      <c r="L588">
        <f t="shared" si="96"/>
        <v>971</v>
      </c>
      <c r="M588">
        <f t="shared" ca="1" si="97"/>
        <v>612</v>
      </c>
      <c r="N588">
        <f t="shared" ca="1" si="98"/>
        <v>292</v>
      </c>
      <c r="O588" s="2">
        <f t="shared" ca="1" si="99"/>
        <v>0.63027806385169927</v>
      </c>
    </row>
    <row r="589" spans="1:15" x14ac:dyDescent="0.3">
      <c r="A589" s="3" t="s">
        <v>794</v>
      </c>
      <c r="B589" t="str">
        <f t="shared" ca="1" si="100"/>
        <v>Ms. Neha Verma</v>
      </c>
      <c r="C589">
        <f t="shared" ca="1" si="101"/>
        <v>29</v>
      </c>
      <c r="D589" t="str">
        <f t="shared" ca="1" si="102"/>
        <v>Male</v>
      </c>
      <c r="E589">
        <f t="shared" ca="1" si="103"/>
        <v>1451778</v>
      </c>
      <c r="F589">
        <f t="shared" ca="1" si="104"/>
        <v>1706819</v>
      </c>
      <c r="G589">
        <f t="shared" ca="1" si="105"/>
        <v>84</v>
      </c>
      <c r="H589">
        <f t="shared" ca="1" si="106"/>
        <v>575</v>
      </c>
      <c r="I589" t="str">
        <f t="shared" ca="1" si="107"/>
        <v>Freelancer</v>
      </c>
      <c r="J589" t="str">
        <f t="shared" ca="1" si="108"/>
        <v>Business</v>
      </c>
      <c r="K589" t="str">
        <f t="shared" ca="1" si="109"/>
        <v>Rejected</v>
      </c>
      <c r="L589">
        <f t="shared" si="96"/>
        <v>971</v>
      </c>
      <c r="M589">
        <f t="shared" ca="1" si="97"/>
        <v>612</v>
      </c>
      <c r="N589">
        <f t="shared" ca="1" si="98"/>
        <v>292</v>
      </c>
      <c r="O589" s="2">
        <f t="shared" ca="1" si="99"/>
        <v>0.63027806385169927</v>
      </c>
    </row>
    <row r="590" spans="1:15" x14ac:dyDescent="0.3">
      <c r="A590" s="3" t="s">
        <v>795</v>
      </c>
      <c r="B590" t="str">
        <f t="shared" ca="1" si="100"/>
        <v>Mr. Raj Kumar</v>
      </c>
      <c r="C590">
        <f t="shared" ca="1" si="101"/>
        <v>46</v>
      </c>
      <c r="D590" t="str">
        <f t="shared" ca="1" si="102"/>
        <v>Male</v>
      </c>
      <c r="E590">
        <f t="shared" ca="1" si="103"/>
        <v>1815272</v>
      </c>
      <c r="F590">
        <f t="shared" ca="1" si="104"/>
        <v>1242779</v>
      </c>
      <c r="G590">
        <f t="shared" ca="1" si="105"/>
        <v>84</v>
      </c>
      <c r="H590">
        <f t="shared" ca="1" si="106"/>
        <v>863</v>
      </c>
      <c r="I590" t="str">
        <f t="shared" ca="1" si="107"/>
        <v>Business</v>
      </c>
      <c r="J590" t="str">
        <f t="shared" ca="1" si="108"/>
        <v>Business</v>
      </c>
      <c r="K590" t="str">
        <f t="shared" ca="1" si="109"/>
        <v>Approved</v>
      </c>
      <c r="L590">
        <f t="shared" si="96"/>
        <v>971</v>
      </c>
      <c r="M590">
        <f t="shared" ca="1" si="97"/>
        <v>612</v>
      </c>
      <c r="N590">
        <f t="shared" ca="1" si="98"/>
        <v>292</v>
      </c>
      <c r="O590" s="2">
        <f t="shared" ca="1" si="99"/>
        <v>0.63027806385169927</v>
      </c>
    </row>
    <row r="591" spans="1:15" x14ac:dyDescent="0.3">
      <c r="A591" s="3" t="s">
        <v>796</v>
      </c>
      <c r="B591" t="str">
        <f t="shared" ca="1" si="100"/>
        <v>Ms. Neha Verma</v>
      </c>
      <c r="C591">
        <f t="shared" ca="1" si="101"/>
        <v>47</v>
      </c>
      <c r="D591" t="str">
        <f t="shared" ca="1" si="102"/>
        <v>Female</v>
      </c>
      <c r="E591">
        <f t="shared" ca="1" si="103"/>
        <v>723714</v>
      </c>
      <c r="F591">
        <f t="shared" ca="1" si="104"/>
        <v>1091521</v>
      </c>
      <c r="G591">
        <f t="shared" ca="1" si="105"/>
        <v>48</v>
      </c>
      <c r="H591">
        <f t="shared" ca="1" si="106"/>
        <v>801</v>
      </c>
      <c r="I591" t="str">
        <f t="shared" ca="1" si="107"/>
        <v>Salaried</v>
      </c>
      <c r="J591" t="str">
        <f t="shared" ca="1" si="108"/>
        <v>Car</v>
      </c>
      <c r="K591" t="str">
        <f t="shared" ca="1" si="109"/>
        <v>Approved</v>
      </c>
      <c r="L591">
        <f t="shared" si="96"/>
        <v>971</v>
      </c>
      <c r="M591">
        <f t="shared" ca="1" si="97"/>
        <v>612</v>
      </c>
      <c r="N591">
        <f t="shared" ca="1" si="98"/>
        <v>292</v>
      </c>
      <c r="O591" s="2">
        <f t="shared" ca="1" si="99"/>
        <v>0.63027806385169927</v>
      </c>
    </row>
    <row r="592" spans="1:15" x14ac:dyDescent="0.3">
      <c r="A592" s="3" t="s">
        <v>797</v>
      </c>
      <c r="B592" t="str">
        <f t="shared" ca="1" si="100"/>
        <v>Ms. Pooja Patel</v>
      </c>
      <c r="C592">
        <f t="shared" ca="1" si="101"/>
        <v>65</v>
      </c>
      <c r="D592" t="str">
        <f t="shared" ca="1" si="102"/>
        <v>Female</v>
      </c>
      <c r="E592">
        <f t="shared" ca="1" si="103"/>
        <v>440531</v>
      </c>
      <c r="F592">
        <f t="shared" ca="1" si="104"/>
        <v>2384321</v>
      </c>
      <c r="G592">
        <f t="shared" ca="1" si="105"/>
        <v>48</v>
      </c>
      <c r="H592">
        <f t="shared" ca="1" si="106"/>
        <v>751</v>
      </c>
      <c r="I592" t="str">
        <f t="shared" ca="1" si="107"/>
        <v>Business</v>
      </c>
      <c r="J592" t="str">
        <f t="shared" ca="1" si="108"/>
        <v>Car</v>
      </c>
      <c r="K592" t="str">
        <f t="shared" ca="1" si="109"/>
        <v>Rejected</v>
      </c>
      <c r="L592">
        <f t="shared" si="96"/>
        <v>971</v>
      </c>
      <c r="M592">
        <f t="shared" ca="1" si="97"/>
        <v>612</v>
      </c>
      <c r="N592">
        <f t="shared" ca="1" si="98"/>
        <v>292</v>
      </c>
      <c r="O592" s="2">
        <f t="shared" ca="1" si="99"/>
        <v>0.63027806385169927</v>
      </c>
    </row>
    <row r="593" spans="1:15" x14ac:dyDescent="0.3">
      <c r="A593" s="3" t="s">
        <v>798</v>
      </c>
      <c r="B593" t="str">
        <f t="shared" ca="1" si="100"/>
        <v>Ms. Neha Verma</v>
      </c>
      <c r="C593">
        <f t="shared" ca="1" si="101"/>
        <v>48</v>
      </c>
      <c r="D593" t="str">
        <f t="shared" ca="1" si="102"/>
        <v>Female</v>
      </c>
      <c r="E593">
        <f t="shared" ca="1" si="103"/>
        <v>572893</v>
      </c>
      <c r="F593">
        <f t="shared" ca="1" si="104"/>
        <v>290424</v>
      </c>
      <c r="G593">
        <f t="shared" ca="1" si="105"/>
        <v>12</v>
      </c>
      <c r="H593">
        <f t="shared" ca="1" si="106"/>
        <v>610</v>
      </c>
      <c r="I593" t="str">
        <f t="shared" ca="1" si="107"/>
        <v>Student</v>
      </c>
      <c r="J593" t="str">
        <f t="shared" ca="1" si="108"/>
        <v>Education</v>
      </c>
      <c r="K593" t="str">
        <f t="shared" ca="1" si="109"/>
        <v>Approved</v>
      </c>
      <c r="L593">
        <f t="shared" si="96"/>
        <v>971</v>
      </c>
      <c r="M593">
        <f t="shared" ca="1" si="97"/>
        <v>612</v>
      </c>
      <c r="N593">
        <f t="shared" ca="1" si="98"/>
        <v>292</v>
      </c>
      <c r="O593" s="2">
        <f t="shared" ca="1" si="99"/>
        <v>0.63027806385169927</v>
      </c>
    </row>
    <row r="594" spans="1:15" x14ac:dyDescent="0.3">
      <c r="A594" s="3" t="s">
        <v>799</v>
      </c>
      <c r="B594" t="str">
        <f t="shared" ca="1" si="100"/>
        <v>Mr. Amit Das</v>
      </c>
      <c r="C594">
        <f t="shared" ca="1" si="101"/>
        <v>23</v>
      </c>
      <c r="D594" t="str">
        <f t="shared" ca="1" si="102"/>
        <v>Female</v>
      </c>
      <c r="E594">
        <f t="shared" ca="1" si="103"/>
        <v>1070322</v>
      </c>
      <c r="F594">
        <f t="shared" ca="1" si="104"/>
        <v>743254</v>
      </c>
      <c r="G594">
        <f t="shared" ca="1" si="105"/>
        <v>84</v>
      </c>
      <c r="H594">
        <f t="shared" ca="1" si="106"/>
        <v>567</v>
      </c>
      <c r="I594" t="str">
        <f t="shared" ca="1" si="107"/>
        <v>Student</v>
      </c>
      <c r="J594" t="str">
        <f t="shared" ca="1" si="108"/>
        <v>Home</v>
      </c>
      <c r="K594" t="str">
        <f t="shared" ca="1" si="109"/>
        <v>Approved</v>
      </c>
      <c r="L594">
        <f t="shared" si="96"/>
        <v>971</v>
      </c>
      <c r="M594">
        <f t="shared" ca="1" si="97"/>
        <v>612</v>
      </c>
      <c r="N594">
        <f t="shared" ca="1" si="98"/>
        <v>292</v>
      </c>
      <c r="O594" s="2">
        <f t="shared" ca="1" si="99"/>
        <v>0.63027806385169927</v>
      </c>
    </row>
    <row r="595" spans="1:15" x14ac:dyDescent="0.3">
      <c r="A595" s="3" t="s">
        <v>800</v>
      </c>
      <c r="B595" t="str">
        <f t="shared" ca="1" si="100"/>
        <v>Mr. Raj Kumar</v>
      </c>
      <c r="C595">
        <f t="shared" ca="1" si="101"/>
        <v>48</v>
      </c>
      <c r="D595" t="str">
        <f t="shared" ca="1" si="102"/>
        <v>Female</v>
      </c>
      <c r="E595">
        <f t="shared" ca="1" si="103"/>
        <v>876733</v>
      </c>
      <c r="F595">
        <f t="shared" ca="1" si="104"/>
        <v>1489251</v>
      </c>
      <c r="G595">
        <f t="shared" ca="1" si="105"/>
        <v>60</v>
      </c>
      <c r="H595">
        <f t="shared" ca="1" si="106"/>
        <v>887</v>
      </c>
      <c r="I595" t="str">
        <f t="shared" ca="1" si="107"/>
        <v>Self-Employed</v>
      </c>
      <c r="J595" t="str">
        <f t="shared" ca="1" si="108"/>
        <v>Home</v>
      </c>
      <c r="K595" t="str">
        <f t="shared" ca="1" si="109"/>
        <v>Approved</v>
      </c>
      <c r="L595">
        <f t="shared" si="96"/>
        <v>971</v>
      </c>
      <c r="M595">
        <f t="shared" ca="1" si="97"/>
        <v>612</v>
      </c>
      <c r="N595">
        <f t="shared" ca="1" si="98"/>
        <v>292</v>
      </c>
      <c r="O595" s="2">
        <f t="shared" ca="1" si="99"/>
        <v>0.63027806385169927</v>
      </c>
    </row>
    <row r="596" spans="1:15" x14ac:dyDescent="0.3">
      <c r="A596" s="3" t="s">
        <v>801</v>
      </c>
      <c r="B596" t="str">
        <f t="shared" ca="1" si="100"/>
        <v>Ms. Priya Sharma</v>
      </c>
      <c r="C596">
        <f t="shared" ca="1" si="101"/>
        <v>26</v>
      </c>
      <c r="D596" t="str">
        <f t="shared" ca="1" si="102"/>
        <v>Male</v>
      </c>
      <c r="E596">
        <f t="shared" ca="1" si="103"/>
        <v>1321803</v>
      </c>
      <c r="F596">
        <f t="shared" ca="1" si="104"/>
        <v>639917</v>
      </c>
      <c r="G596">
        <f t="shared" ca="1" si="105"/>
        <v>84</v>
      </c>
      <c r="H596">
        <f t="shared" ca="1" si="106"/>
        <v>622</v>
      </c>
      <c r="I596" t="str">
        <f t="shared" ca="1" si="107"/>
        <v>Salaried</v>
      </c>
      <c r="J596" t="str">
        <f t="shared" ca="1" si="108"/>
        <v>Car</v>
      </c>
      <c r="K596" t="str">
        <f t="shared" ca="1" si="109"/>
        <v>Approved</v>
      </c>
      <c r="L596">
        <f t="shared" si="96"/>
        <v>971</v>
      </c>
      <c r="M596">
        <f t="shared" ca="1" si="97"/>
        <v>612</v>
      </c>
      <c r="N596">
        <f t="shared" ca="1" si="98"/>
        <v>292</v>
      </c>
      <c r="O596" s="2">
        <f t="shared" ca="1" si="99"/>
        <v>0.63027806385169927</v>
      </c>
    </row>
    <row r="597" spans="1:15" x14ac:dyDescent="0.3">
      <c r="A597" s="3" t="s">
        <v>802</v>
      </c>
      <c r="B597" t="str">
        <f t="shared" ca="1" si="100"/>
        <v>Ms. Neha Verma</v>
      </c>
      <c r="C597">
        <f t="shared" ca="1" si="101"/>
        <v>47</v>
      </c>
      <c r="D597" t="str">
        <f t="shared" ca="1" si="102"/>
        <v>Female</v>
      </c>
      <c r="E597">
        <f t="shared" ca="1" si="103"/>
        <v>784981</v>
      </c>
      <c r="F597">
        <f t="shared" ca="1" si="104"/>
        <v>1088682</v>
      </c>
      <c r="G597">
        <f t="shared" ca="1" si="105"/>
        <v>48</v>
      </c>
      <c r="H597">
        <f t="shared" ca="1" si="106"/>
        <v>895</v>
      </c>
      <c r="I597" t="str">
        <f t="shared" ca="1" si="107"/>
        <v>Business</v>
      </c>
      <c r="J597" t="str">
        <f t="shared" ca="1" si="108"/>
        <v>Personal</v>
      </c>
      <c r="K597" t="str">
        <f t="shared" ca="1" si="109"/>
        <v>Rejected</v>
      </c>
      <c r="L597">
        <f t="shared" si="96"/>
        <v>971</v>
      </c>
      <c r="M597">
        <f t="shared" ca="1" si="97"/>
        <v>612</v>
      </c>
      <c r="N597">
        <f t="shared" ca="1" si="98"/>
        <v>292</v>
      </c>
      <c r="O597" s="2">
        <f t="shared" ca="1" si="99"/>
        <v>0.63027806385169927</v>
      </c>
    </row>
    <row r="598" spans="1:15" x14ac:dyDescent="0.3">
      <c r="A598" s="3" t="s">
        <v>803</v>
      </c>
      <c r="B598" t="str">
        <f t="shared" ca="1" si="100"/>
        <v>Ms. Pooja Patel</v>
      </c>
      <c r="C598">
        <f t="shared" ca="1" si="101"/>
        <v>45</v>
      </c>
      <c r="D598" t="str">
        <f t="shared" ca="1" si="102"/>
        <v>Female</v>
      </c>
      <c r="E598">
        <f t="shared" ca="1" si="103"/>
        <v>1702087</v>
      </c>
      <c r="F598">
        <f t="shared" ca="1" si="104"/>
        <v>620154</v>
      </c>
      <c r="G598">
        <f t="shared" ca="1" si="105"/>
        <v>84</v>
      </c>
      <c r="H598">
        <f t="shared" ca="1" si="106"/>
        <v>855</v>
      </c>
      <c r="I598" t="str">
        <f t="shared" ca="1" si="107"/>
        <v>Business</v>
      </c>
      <c r="J598" t="str">
        <f t="shared" ca="1" si="108"/>
        <v>Education</v>
      </c>
      <c r="K598" t="str">
        <f t="shared" ca="1" si="109"/>
        <v>Rejected</v>
      </c>
      <c r="L598">
        <f t="shared" si="96"/>
        <v>971</v>
      </c>
      <c r="M598">
        <f t="shared" ca="1" si="97"/>
        <v>612</v>
      </c>
      <c r="N598">
        <f t="shared" ca="1" si="98"/>
        <v>292</v>
      </c>
      <c r="O598" s="2">
        <f t="shared" ca="1" si="99"/>
        <v>0.63027806385169927</v>
      </c>
    </row>
    <row r="599" spans="1:15" x14ac:dyDescent="0.3">
      <c r="A599" s="3" t="s">
        <v>804</v>
      </c>
      <c r="B599" t="str">
        <f t="shared" ca="1" si="100"/>
        <v>Ms. Kajal Yadav</v>
      </c>
      <c r="C599">
        <f t="shared" ca="1" si="101"/>
        <v>32</v>
      </c>
      <c r="D599" t="str">
        <f t="shared" ca="1" si="102"/>
        <v>Female</v>
      </c>
      <c r="E599">
        <f t="shared" ca="1" si="103"/>
        <v>1737713</v>
      </c>
      <c r="F599">
        <f t="shared" ca="1" si="104"/>
        <v>1587192</v>
      </c>
      <c r="G599">
        <f t="shared" ca="1" si="105"/>
        <v>84</v>
      </c>
      <c r="H599">
        <f t="shared" ca="1" si="106"/>
        <v>630</v>
      </c>
      <c r="I599" t="str">
        <f t="shared" ca="1" si="107"/>
        <v>Student</v>
      </c>
      <c r="J599" t="str">
        <f t="shared" ca="1" si="108"/>
        <v>Business</v>
      </c>
      <c r="K599" t="str">
        <f t="shared" ca="1" si="109"/>
        <v>Approved</v>
      </c>
      <c r="L599">
        <f t="shared" si="96"/>
        <v>971</v>
      </c>
      <c r="M599">
        <f t="shared" ca="1" si="97"/>
        <v>612</v>
      </c>
      <c r="N599">
        <f t="shared" ca="1" si="98"/>
        <v>292</v>
      </c>
      <c r="O599" s="2">
        <f t="shared" ca="1" si="99"/>
        <v>0.63027806385169927</v>
      </c>
    </row>
    <row r="600" spans="1:15" x14ac:dyDescent="0.3">
      <c r="A600" s="3" t="s">
        <v>805</v>
      </c>
      <c r="B600" t="str">
        <f t="shared" ca="1" si="100"/>
        <v>Ms. Anjali Singh</v>
      </c>
      <c r="C600">
        <f t="shared" ca="1" si="101"/>
        <v>56</v>
      </c>
      <c r="D600" t="str">
        <f t="shared" ca="1" si="102"/>
        <v>Male</v>
      </c>
      <c r="E600">
        <f t="shared" ca="1" si="103"/>
        <v>726154</v>
      </c>
      <c r="F600">
        <f t="shared" ca="1" si="104"/>
        <v>1591931</v>
      </c>
      <c r="G600">
        <f t="shared" ca="1" si="105"/>
        <v>72</v>
      </c>
      <c r="H600">
        <f t="shared" ca="1" si="106"/>
        <v>306</v>
      </c>
      <c r="I600" t="str">
        <f t="shared" ca="1" si="107"/>
        <v>Self-Employed</v>
      </c>
      <c r="J600" t="str">
        <f t="shared" ca="1" si="108"/>
        <v>Personal</v>
      </c>
      <c r="K600" t="str">
        <f t="shared" ca="1" si="109"/>
        <v>Approved</v>
      </c>
      <c r="L600">
        <f t="shared" si="96"/>
        <v>971</v>
      </c>
      <c r="M600">
        <f t="shared" ca="1" si="97"/>
        <v>612</v>
      </c>
      <c r="N600">
        <f t="shared" ca="1" si="98"/>
        <v>292</v>
      </c>
      <c r="O600" s="2">
        <f t="shared" ca="1" si="99"/>
        <v>0.63027806385169927</v>
      </c>
    </row>
    <row r="601" spans="1:15" x14ac:dyDescent="0.3">
      <c r="A601" s="3" t="s">
        <v>806</v>
      </c>
      <c r="B601" t="str">
        <f t="shared" ca="1" si="100"/>
        <v>Ms. Pooja Patel</v>
      </c>
      <c r="C601">
        <f t="shared" ca="1" si="101"/>
        <v>50</v>
      </c>
      <c r="D601" t="str">
        <f t="shared" ca="1" si="102"/>
        <v>Female</v>
      </c>
      <c r="E601">
        <f t="shared" ca="1" si="103"/>
        <v>365854</v>
      </c>
      <c r="F601">
        <f t="shared" ca="1" si="104"/>
        <v>2057367</v>
      </c>
      <c r="G601">
        <f t="shared" ca="1" si="105"/>
        <v>24</v>
      </c>
      <c r="H601">
        <f t="shared" ca="1" si="106"/>
        <v>577</v>
      </c>
      <c r="I601" t="str">
        <f t="shared" ca="1" si="107"/>
        <v>Freelancer</v>
      </c>
      <c r="J601" t="str">
        <f t="shared" ca="1" si="108"/>
        <v>Home</v>
      </c>
      <c r="K601" t="str">
        <f t="shared" ca="1" si="109"/>
        <v>Approved</v>
      </c>
      <c r="L601">
        <f t="shared" si="96"/>
        <v>971</v>
      </c>
      <c r="M601">
        <f t="shared" ca="1" si="97"/>
        <v>612</v>
      </c>
      <c r="N601">
        <f t="shared" ca="1" si="98"/>
        <v>292</v>
      </c>
      <c r="O601" s="2">
        <f t="shared" ca="1" si="99"/>
        <v>0.63027806385169927</v>
      </c>
    </row>
    <row r="602" spans="1:15" x14ac:dyDescent="0.3">
      <c r="A602" s="3" t="s">
        <v>807</v>
      </c>
      <c r="B602" t="str">
        <f t="shared" ca="1" si="100"/>
        <v>Ms. Priya Sharma</v>
      </c>
      <c r="C602">
        <f t="shared" ca="1" si="101"/>
        <v>47</v>
      </c>
      <c r="D602" t="str">
        <f t="shared" ca="1" si="102"/>
        <v>Female</v>
      </c>
      <c r="E602">
        <f t="shared" ca="1" si="103"/>
        <v>1057611</v>
      </c>
      <c r="F602">
        <f t="shared" ca="1" si="104"/>
        <v>1054980</v>
      </c>
      <c r="G602">
        <f t="shared" ca="1" si="105"/>
        <v>12</v>
      </c>
      <c r="H602">
        <f t="shared" ca="1" si="106"/>
        <v>703</v>
      </c>
      <c r="I602" t="str">
        <f t="shared" ca="1" si="107"/>
        <v>Self-Employed</v>
      </c>
      <c r="J602" t="str">
        <f t="shared" ca="1" si="108"/>
        <v>Business</v>
      </c>
      <c r="K602" t="str">
        <f t="shared" ca="1" si="109"/>
        <v>Rejected</v>
      </c>
      <c r="L602">
        <f t="shared" si="96"/>
        <v>971</v>
      </c>
      <c r="M602">
        <f t="shared" ca="1" si="97"/>
        <v>612</v>
      </c>
      <c r="N602">
        <f t="shared" ca="1" si="98"/>
        <v>292</v>
      </c>
      <c r="O602" s="2">
        <f t="shared" ca="1" si="99"/>
        <v>0.63027806385169927</v>
      </c>
    </row>
    <row r="603" spans="1:15" x14ac:dyDescent="0.3">
      <c r="A603" s="3" t="s">
        <v>808</v>
      </c>
      <c r="B603" t="str">
        <f t="shared" ca="1" si="100"/>
        <v>Mr. Raj Kumar</v>
      </c>
      <c r="C603">
        <f t="shared" ca="1" si="101"/>
        <v>31</v>
      </c>
      <c r="D603" t="str">
        <f t="shared" ca="1" si="102"/>
        <v>Female</v>
      </c>
      <c r="E603">
        <f t="shared" ca="1" si="103"/>
        <v>1163828</v>
      </c>
      <c r="F603">
        <f t="shared" ca="1" si="104"/>
        <v>2354092</v>
      </c>
      <c r="G603">
        <f t="shared" ca="1" si="105"/>
        <v>84</v>
      </c>
      <c r="H603">
        <f t="shared" ca="1" si="106"/>
        <v>387</v>
      </c>
      <c r="I603" t="str">
        <f t="shared" ca="1" si="107"/>
        <v>Self-Employed</v>
      </c>
      <c r="J603" t="str">
        <f t="shared" ca="1" si="108"/>
        <v>Business</v>
      </c>
      <c r="K603" t="str">
        <f t="shared" ca="1" si="109"/>
        <v>Rejected</v>
      </c>
      <c r="L603">
        <f t="shared" si="96"/>
        <v>971</v>
      </c>
      <c r="M603">
        <f t="shared" ca="1" si="97"/>
        <v>612</v>
      </c>
      <c r="N603">
        <f t="shared" ca="1" si="98"/>
        <v>292</v>
      </c>
      <c r="O603" s="2">
        <f t="shared" ca="1" si="99"/>
        <v>0.63027806385169927</v>
      </c>
    </row>
    <row r="604" spans="1:15" x14ac:dyDescent="0.3">
      <c r="A604" s="3" t="s">
        <v>809</v>
      </c>
      <c r="B604" t="str">
        <f t="shared" ca="1" si="100"/>
        <v>Ms. Priya Sharma</v>
      </c>
      <c r="C604">
        <f t="shared" ca="1" si="101"/>
        <v>23</v>
      </c>
      <c r="D604" t="str">
        <f t="shared" ca="1" si="102"/>
        <v>Female</v>
      </c>
      <c r="E604">
        <f t="shared" ca="1" si="103"/>
        <v>1993396</v>
      </c>
      <c r="F604">
        <f t="shared" ca="1" si="104"/>
        <v>123819</v>
      </c>
      <c r="G604">
        <f t="shared" ca="1" si="105"/>
        <v>60</v>
      </c>
      <c r="H604">
        <f t="shared" ca="1" si="106"/>
        <v>572</v>
      </c>
      <c r="I604" t="str">
        <f t="shared" ca="1" si="107"/>
        <v>Self-Employed</v>
      </c>
      <c r="J604" t="str">
        <f t="shared" ca="1" si="108"/>
        <v>Home</v>
      </c>
      <c r="K604" t="str">
        <f t="shared" ca="1" si="109"/>
        <v>Approved</v>
      </c>
      <c r="L604">
        <f t="shared" si="96"/>
        <v>971</v>
      </c>
      <c r="M604">
        <f t="shared" ca="1" si="97"/>
        <v>612</v>
      </c>
      <c r="N604">
        <f t="shared" ca="1" si="98"/>
        <v>292</v>
      </c>
      <c r="O604" s="2">
        <f t="shared" ca="1" si="99"/>
        <v>0.63027806385169927</v>
      </c>
    </row>
    <row r="605" spans="1:15" x14ac:dyDescent="0.3">
      <c r="A605" s="3" t="s">
        <v>810</v>
      </c>
      <c r="B605" t="str">
        <f t="shared" ca="1" si="100"/>
        <v>Ms. Priya Sharma</v>
      </c>
      <c r="C605">
        <f t="shared" ca="1" si="101"/>
        <v>50</v>
      </c>
      <c r="D605" t="str">
        <f t="shared" ca="1" si="102"/>
        <v>Male</v>
      </c>
      <c r="E605">
        <f t="shared" ca="1" si="103"/>
        <v>323953</v>
      </c>
      <c r="F605">
        <f t="shared" ca="1" si="104"/>
        <v>2415368</v>
      </c>
      <c r="G605">
        <f t="shared" ca="1" si="105"/>
        <v>24</v>
      </c>
      <c r="H605">
        <f t="shared" ca="1" si="106"/>
        <v>630</v>
      </c>
      <c r="I605" t="str">
        <f t="shared" ca="1" si="107"/>
        <v>Business</v>
      </c>
      <c r="J605" t="str">
        <f t="shared" ca="1" si="108"/>
        <v>Business</v>
      </c>
      <c r="K605" t="str">
        <f t="shared" ca="1" si="109"/>
        <v>Approved</v>
      </c>
      <c r="L605">
        <f t="shared" si="96"/>
        <v>971</v>
      </c>
      <c r="M605">
        <f t="shared" ca="1" si="97"/>
        <v>612</v>
      </c>
      <c r="N605">
        <f t="shared" ca="1" si="98"/>
        <v>292</v>
      </c>
      <c r="O605" s="2">
        <f t="shared" ca="1" si="99"/>
        <v>0.63027806385169927</v>
      </c>
    </row>
    <row r="606" spans="1:15" x14ac:dyDescent="0.3">
      <c r="A606" s="3" t="s">
        <v>811</v>
      </c>
      <c r="B606" t="str">
        <f t="shared" ca="1" si="100"/>
        <v>Ms. Anjali Singh</v>
      </c>
      <c r="C606">
        <f t="shared" ca="1" si="101"/>
        <v>55</v>
      </c>
      <c r="D606" t="str">
        <f t="shared" ca="1" si="102"/>
        <v>Male</v>
      </c>
      <c r="E606">
        <f t="shared" ca="1" si="103"/>
        <v>564764</v>
      </c>
      <c r="F606">
        <f t="shared" ca="1" si="104"/>
        <v>2323240</v>
      </c>
      <c r="G606">
        <f t="shared" ca="1" si="105"/>
        <v>12</v>
      </c>
      <c r="H606">
        <f t="shared" ca="1" si="106"/>
        <v>579</v>
      </c>
      <c r="I606" t="str">
        <f t="shared" ca="1" si="107"/>
        <v>Self-Employed</v>
      </c>
      <c r="J606" t="str">
        <f t="shared" ca="1" si="108"/>
        <v>Education</v>
      </c>
      <c r="K606" t="str">
        <f t="shared" ca="1" si="109"/>
        <v>Approved</v>
      </c>
      <c r="L606">
        <f t="shared" si="96"/>
        <v>971</v>
      </c>
      <c r="M606">
        <f t="shared" ca="1" si="97"/>
        <v>612</v>
      </c>
      <c r="N606">
        <f t="shared" ca="1" si="98"/>
        <v>292</v>
      </c>
      <c r="O606" s="2">
        <f t="shared" ca="1" si="99"/>
        <v>0.63027806385169927</v>
      </c>
    </row>
    <row r="607" spans="1:15" x14ac:dyDescent="0.3">
      <c r="A607" s="3" t="s">
        <v>812</v>
      </c>
      <c r="B607" t="str">
        <f t="shared" ca="1" si="100"/>
        <v>Ms. Kajal Yadav</v>
      </c>
      <c r="C607">
        <f t="shared" ca="1" si="101"/>
        <v>58</v>
      </c>
      <c r="D607" t="str">
        <f t="shared" ca="1" si="102"/>
        <v>Male</v>
      </c>
      <c r="E607">
        <f t="shared" ca="1" si="103"/>
        <v>1800771</v>
      </c>
      <c r="F607">
        <f t="shared" ca="1" si="104"/>
        <v>735218</v>
      </c>
      <c r="G607">
        <f t="shared" ca="1" si="105"/>
        <v>12</v>
      </c>
      <c r="H607">
        <f t="shared" ca="1" si="106"/>
        <v>677</v>
      </c>
      <c r="I607" t="str">
        <f t="shared" ca="1" si="107"/>
        <v>Student</v>
      </c>
      <c r="J607" t="str">
        <f t="shared" ca="1" si="108"/>
        <v>Car</v>
      </c>
      <c r="K607" t="str">
        <f t="shared" ca="1" si="109"/>
        <v>Rejected</v>
      </c>
      <c r="L607">
        <f t="shared" si="96"/>
        <v>971</v>
      </c>
      <c r="M607">
        <f t="shared" ca="1" si="97"/>
        <v>612</v>
      </c>
      <c r="N607">
        <f t="shared" ca="1" si="98"/>
        <v>292</v>
      </c>
      <c r="O607" s="2">
        <f t="shared" ca="1" si="99"/>
        <v>0.63027806385169927</v>
      </c>
    </row>
    <row r="608" spans="1:15" x14ac:dyDescent="0.3">
      <c r="A608" s="3" t="s">
        <v>813</v>
      </c>
      <c r="B608" t="str">
        <f t="shared" ca="1" si="100"/>
        <v>Mr. Arun Kumar</v>
      </c>
      <c r="C608">
        <f t="shared" ca="1" si="101"/>
        <v>46</v>
      </c>
      <c r="D608" t="str">
        <f t="shared" ca="1" si="102"/>
        <v>Male</v>
      </c>
      <c r="E608">
        <f t="shared" ca="1" si="103"/>
        <v>1805683</v>
      </c>
      <c r="F608">
        <f t="shared" ca="1" si="104"/>
        <v>920120</v>
      </c>
      <c r="G608">
        <f t="shared" ca="1" si="105"/>
        <v>12</v>
      </c>
      <c r="H608">
        <f t="shared" ca="1" si="106"/>
        <v>516</v>
      </c>
      <c r="I608" t="str">
        <f t="shared" ca="1" si="107"/>
        <v>Salaried</v>
      </c>
      <c r="J608" t="str">
        <f t="shared" ca="1" si="108"/>
        <v>Business</v>
      </c>
      <c r="K608" t="str">
        <f t="shared" ca="1" si="109"/>
        <v>Approved</v>
      </c>
      <c r="L608">
        <f t="shared" si="96"/>
        <v>971</v>
      </c>
      <c r="M608">
        <f t="shared" ca="1" si="97"/>
        <v>612</v>
      </c>
      <c r="N608">
        <f t="shared" ca="1" si="98"/>
        <v>292</v>
      </c>
      <c r="O608" s="2">
        <f t="shared" ca="1" si="99"/>
        <v>0.63027806385169927</v>
      </c>
    </row>
    <row r="609" spans="1:15" x14ac:dyDescent="0.3">
      <c r="A609" s="3" t="s">
        <v>814</v>
      </c>
      <c r="B609" t="str">
        <f t="shared" ca="1" si="100"/>
        <v>Ms. Anjali Singh</v>
      </c>
      <c r="C609">
        <f t="shared" ca="1" si="101"/>
        <v>37</v>
      </c>
      <c r="D609" t="str">
        <f t="shared" ca="1" si="102"/>
        <v>Female</v>
      </c>
      <c r="E609">
        <f t="shared" ca="1" si="103"/>
        <v>993425</v>
      </c>
      <c r="F609">
        <f t="shared" ca="1" si="104"/>
        <v>766927</v>
      </c>
      <c r="G609">
        <f t="shared" ca="1" si="105"/>
        <v>12</v>
      </c>
      <c r="H609">
        <f t="shared" ca="1" si="106"/>
        <v>872</v>
      </c>
      <c r="I609" t="str">
        <f t="shared" ca="1" si="107"/>
        <v>Business</v>
      </c>
      <c r="J609" t="str">
        <f t="shared" ca="1" si="108"/>
        <v>Car</v>
      </c>
      <c r="K609" t="str">
        <f t="shared" ca="1" si="109"/>
        <v>Approved</v>
      </c>
      <c r="L609">
        <f t="shared" si="96"/>
        <v>971</v>
      </c>
      <c r="M609">
        <f t="shared" ca="1" si="97"/>
        <v>612</v>
      </c>
      <c r="N609">
        <f t="shared" ca="1" si="98"/>
        <v>292</v>
      </c>
      <c r="O609" s="2">
        <f t="shared" ca="1" si="99"/>
        <v>0.63027806385169927</v>
      </c>
    </row>
    <row r="610" spans="1:15" x14ac:dyDescent="0.3">
      <c r="A610" s="3" t="s">
        <v>815</v>
      </c>
      <c r="B610" t="str">
        <f t="shared" ca="1" si="100"/>
        <v>Ms. Priya Sharma</v>
      </c>
      <c r="C610">
        <f t="shared" ca="1" si="101"/>
        <v>65</v>
      </c>
      <c r="D610" t="str">
        <f t="shared" ca="1" si="102"/>
        <v>Female</v>
      </c>
      <c r="E610">
        <f t="shared" ca="1" si="103"/>
        <v>671393</v>
      </c>
      <c r="F610">
        <f t="shared" ca="1" si="104"/>
        <v>2244474</v>
      </c>
      <c r="G610">
        <f t="shared" ca="1" si="105"/>
        <v>48</v>
      </c>
      <c r="H610">
        <f t="shared" ca="1" si="106"/>
        <v>669</v>
      </c>
      <c r="I610" t="str">
        <f t="shared" ca="1" si="107"/>
        <v>Salaried</v>
      </c>
      <c r="J610" t="str">
        <f t="shared" ca="1" si="108"/>
        <v>Home</v>
      </c>
      <c r="K610" t="str">
        <f t="shared" ca="1" si="109"/>
        <v>Approved</v>
      </c>
      <c r="L610">
        <f t="shared" si="96"/>
        <v>971</v>
      </c>
      <c r="M610">
        <f t="shared" ca="1" si="97"/>
        <v>612</v>
      </c>
      <c r="N610">
        <f t="shared" ca="1" si="98"/>
        <v>292</v>
      </c>
      <c r="O610" s="2">
        <f t="shared" ca="1" si="99"/>
        <v>0.63027806385169927</v>
      </c>
    </row>
    <row r="611" spans="1:15" x14ac:dyDescent="0.3">
      <c r="A611" s="3" t="s">
        <v>816</v>
      </c>
      <c r="B611" t="str">
        <f t="shared" ca="1" si="100"/>
        <v>Mr. Amit Das</v>
      </c>
      <c r="C611">
        <f t="shared" ca="1" si="101"/>
        <v>42</v>
      </c>
      <c r="D611" t="str">
        <f t="shared" ca="1" si="102"/>
        <v>Female</v>
      </c>
      <c r="E611">
        <f t="shared" ca="1" si="103"/>
        <v>1971623</v>
      </c>
      <c r="F611">
        <f t="shared" ca="1" si="104"/>
        <v>580964</v>
      </c>
      <c r="G611">
        <f t="shared" ca="1" si="105"/>
        <v>12</v>
      </c>
      <c r="H611">
        <f t="shared" ca="1" si="106"/>
        <v>571</v>
      </c>
      <c r="I611" t="str">
        <f t="shared" ca="1" si="107"/>
        <v>Business</v>
      </c>
      <c r="J611" t="str">
        <f t="shared" ca="1" si="108"/>
        <v>Car</v>
      </c>
      <c r="K611" t="str">
        <f t="shared" ca="1" si="109"/>
        <v>Rejected</v>
      </c>
      <c r="L611">
        <f t="shared" si="96"/>
        <v>971</v>
      </c>
      <c r="M611">
        <f t="shared" ca="1" si="97"/>
        <v>612</v>
      </c>
      <c r="N611">
        <f t="shared" ca="1" si="98"/>
        <v>292</v>
      </c>
      <c r="O611" s="2">
        <f t="shared" ca="1" si="99"/>
        <v>0.63027806385169927</v>
      </c>
    </row>
    <row r="612" spans="1:15" x14ac:dyDescent="0.3">
      <c r="A612" s="3" t="s">
        <v>817</v>
      </c>
      <c r="B612" t="str">
        <f t="shared" ca="1" si="100"/>
        <v>Ms. Pooja Patel</v>
      </c>
      <c r="C612">
        <f t="shared" ca="1" si="101"/>
        <v>44</v>
      </c>
      <c r="D612" t="str">
        <f t="shared" ca="1" si="102"/>
        <v>Female</v>
      </c>
      <c r="E612">
        <f t="shared" ca="1" si="103"/>
        <v>314793</v>
      </c>
      <c r="F612">
        <f t="shared" ca="1" si="104"/>
        <v>1018103</v>
      </c>
      <c r="G612">
        <f t="shared" ca="1" si="105"/>
        <v>72</v>
      </c>
      <c r="H612">
        <f t="shared" ca="1" si="106"/>
        <v>761</v>
      </c>
      <c r="I612" t="str">
        <f t="shared" ca="1" si="107"/>
        <v>Self-Employed</v>
      </c>
      <c r="J612" t="str">
        <f t="shared" ca="1" si="108"/>
        <v>Car</v>
      </c>
      <c r="K612" t="str">
        <f t="shared" ca="1" si="109"/>
        <v>Approved</v>
      </c>
      <c r="L612">
        <f t="shared" si="96"/>
        <v>971</v>
      </c>
      <c r="M612">
        <f t="shared" ca="1" si="97"/>
        <v>612</v>
      </c>
      <c r="N612">
        <f t="shared" ca="1" si="98"/>
        <v>292</v>
      </c>
      <c r="O612" s="2">
        <f t="shared" ca="1" si="99"/>
        <v>0.63027806385169927</v>
      </c>
    </row>
    <row r="613" spans="1:15" x14ac:dyDescent="0.3">
      <c r="A613" s="3" t="s">
        <v>818</v>
      </c>
      <c r="B613" t="str">
        <f t="shared" ca="1" si="100"/>
        <v>Ms. Neha Verma</v>
      </c>
      <c r="C613">
        <f t="shared" ca="1" si="101"/>
        <v>30</v>
      </c>
      <c r="D613" t="str">
        <f t="shared" ca="1" si="102"/>
        <v>Male</v>
      </c>
      <c r="E613">
        <f t="shared" ca="1" si="103"/>
        <v>1108793</v>
      </c>
      <c r="F613">
        <f t="shared" ca="1" si="104"/>
        <v>885856</v>
      </c>
      <c r="G613">
        <f t="shared" ca="1" si="105"/>
        <v>60</v>
      </c>
      <c r="H613">
        <f t="shared" ca="1" si="106"/>
        <v>736</v>
      </c>
      <c r="I613" t="str">
        <f t="shared" ca="1" si="107"/>
        <v>Contract-Based</v>
      </c>
      <c r="J613" t="str">
        <f t="shared" ca="1" si="108"/>
        <v>Personal</v>
      </c>
      <c r="K613" t="str">
        <f t="shared" ca="1" si="109"/>
        <v>Rejected</v>
      </c>
      <c r="L613">
        <f t="shared" si="96"/>
        <v>971</v>
      </c>
      <c r="M613">
        <f t="shared" ca="1" si="97"/>
        <v>612</v>
      </c>
      <c r="N613">
        <f t="shared" ca="1" si="98"/>
        <v>292</v>
      </c>
      <c r="O613" s="2">
        <f t="shared" ca="1" si="99"/>
        <v>0.63027806385169927</v>
      </c>
    </row>
    <row r="614" spans="1:15" x14ac:dyDescent="0.3">
      <c r="A614" s="3" t="s">
        <v>819</v>
      </c>
      <c r="B614" t="str">
        <f t="shared" ca="1" si="100"/>
        <v>Mr. Suresh Rao</v>
      </c>
      <c r="C614">
        <f t="shared" ca="1" si="101"/>
        <v>25</v>
      </c>
      <c r="D614" t="str">
        <f t="shared" ca="1" si="102"/>
        <v>Male</v>
      </c>
      <c r="E614">
        <f t="shared" ca="1" si="103"/>
        <v>1549180</v>
      </c>
      <c r="F614">
        <f t="shared" ca="1" si="104"/>
        <v>1271387</v>
      </c>
      <c r="G614">
        <f t="shared" ca="1" si="105"/>
        <v>84</v>
      </c>
      <c r="H614">
        <f t="shared" ca="1" si="106"/>
        <v>675</v>
      </c>
      <c r="I614" t="str">
        <f t="shared" ca="1" si="107"/>
        <v>Salaried</v>
      </c>
      <c r="J614" t="str">
        <f t="shared" ca="1" si="108"/>
        <v>Business</v>
      </c>
      <c r="K614" t="str">
        <f t="shared" ca="1" si="109"/>
        <v>Rejected</v>
      </c>
      <c r="L614">
        <f t="shared" si="96"/>
        <v>971</v>
      </c>
      <c r="M614">
        <f t="shared" ca="1" si="97"/>
        <v>612</v>
      </c>
      <c r="N614">
        <f t="shared" ca="1" si="98"/>
        <v>292</v>
      </c>
      <c r="O614" s="2">
        <f t="shared" ca="1" si="99"/>
        <v>0.63027806385169927</v>
      </c>
    </row>
    <row r="615" spans="1:15" x14ac:dyDescent="0.3">
      <c r="A615" s="3" t="s">
        <v>820</v>
      </c>
      <c r="B615" t="str">
        <f t="shared" ca="1" si="100"/>
        <v>Ms. Pooja Patel</v>
      </c>
      <c r="C615">
        <f t="shared" ca="1" si="101"/>
        <v>37</v>
      </c>
      <c r="D615" t="str">
        <f t="shared" ca="1" si="102"/>
        <v>Female</v>
      </c>
      <c r="E615">
        <f t="shared" ca="1" si="103"/>
        <v>696490</v>
      </c>
      <c r="F615">
        <f t="shared" ca="1" si="104"/>
        <v>1992040</v>
      </c>
      <c r="G615">
        <f t="shared" ca="1" si="105"/>
        <v>12</v>
      </c>
      <c r="H615">
        <f t="shared" ca="1" si="106"/>
        <v>341</v>
      </c>
      <c r="I615" t="str">
        <f t="shared" ca="1" si="107"/>
        <v>Salaried</v>
      </c>
      <c r="J615" t="str">
        <f t="shared" ca="1" si="108"/>
        <v>Home</v>
      </c>
      <c r="K615" t="str">
        <f t="shared" ca="1" si="109"/>
        <v>Approved</v>
      </c>
      <c r="L615">
        <f t="shared" si="96"/>
        <v>971</v>
      </c>
      <c r="M615">
        <f t="shared" ca="1" si="97"/>
        <v>612</v>
      </c>
      <c r="N615">
        <f t="shared" ca="1" si="98"/>
        <v>292</v>
      </c>
      <c r="O615" s="2">
        <f t="shared" ca="1" si="99"/>
        <v>0.63027806385169927</v>
      </c>
    </row>
    <row r="616" spans="1:15" x14ac:dyDescent="0.3">
      <c r="A616" s="3" t="s">
        <v>821</v>
      </c>
      <c r="B616" t="str">
        <f t="shared" ca="1" si="100"/>
        <v>Mr. Raj Kumar</v>
      </c>
      <c r="C616">
        <f t="shared" ca="1" si="101"/>
        <v>56</v>
      </c>
      <c r="D616" t="str">
        <f t="shared" ca="1" si="102"/>
        <v>Female</v>
      </c>
      <c r="E616">
        <f t="shared" ca="1" si="103"/>
        <v>1582663</v>
      </c>
      <c r="F616">
        <f t="shared" ca="1" si="104"/>
        <v>1820975</v>
      </c>
      <c r="G616">
        <f t="shared" ca="1" si="105"/>
        <v>24</v>
      </c>
      <c r="H616">
        <f t="shared" ca="1" si="106"/>
        <v>664</v>
      </c>
      <c r="I616" t="str">
        <f t="shared" ca="1" si="107"/>
        <v>Freelancer</v>
      </c>
      <c r="J616" t="str">
        <f t="shared" ca="1" si="108"/>
        <v>Education</v>
      </c>
      <c r="K616" t="str">
        <f t="shared" ca="1" si="109"/>
        <v>Approved</v>
      </c>
      <c r="L616">
        <f t="shared" si="96"/>
        <v>971</v>
      </c>
      <c r="M616">
        <f t="shared" ca="1" si="97"/>
        <v>612</v>
      </c>
      <c r="N616">
        <f t="shared" ca="1" si="98"/>
        <v>292</v>
      </c>
      <c r="O616" s="2">
        <f t="shared" ca="1" si="99"/>
        <v>0.63027806385169927</v>
      </c>
    </row>
    <row r="617" spans="1:15" x14ac:dyDescent="0.3">
      <c r="A617" s="3" t="s">
        <v>822</v>
      </c>
      <c r="B617" t="str">
        <f t="shared" ca="1" si="100"/>
        <v>Ms. Pooja Patel</v>
      </c>
      <c r="C617">
        <f t="shared" ca="1" si="101"/>
        <v>34</v>
      </c>
      <c r="D617" t="str">
        <f t="shared" ca="1" si="102"/>
        <v>Female</v>
      </c>
      <c r="E617">
        <f t="shared" ca="1" si="103"/>
        <v>207663</v>
      </c>
      <c r="F617">
        <f t="shared" ca="1" si="104"/>
        <v>2108215</v>
      </c>
      <c r="G617">
        <f t="shared" ca="1" si="105"/>
        <v>72</v>
      </c>
      <c r="H617">
        <f t="shared" ca="1" si="106"/>
        <v>608</v>
      </c>
      <c r="I617" t="str">
        <f t="shared" ca="1" si="107"/>
        <v>Self-Employed</v>
      </c>
      <c r="J617" t="str">
        <f t="shared" ca="1" si="108"/>
        <v>Business</v>
      </c>
      <c r="K617" t="str">
        <f t="shared" ca="1" si="109"/>
        <v>Rejected</v>
      </c>
      <c r="L617">
        <f t="shared" si="96"/>
        <v>971</v>
      </c>
      <c r="M617">
        <f t="shared" ca="1" si="97"/>
        <v>612</v>
      </c>
      <c r="N617">
        <f t="shared" ca="1" si="98"/>
        <v>292</v>
      </c>
      <c r="O617" s="2">
        <f t="shared" ca="1" si="99"/>
        <v>0.63027806385169927</v>
      </c>
    </row>
    <row r="618" spans="1:15" x14ac:dyDescent="0.3">
      <c r="A618" s="3" t="s">
        <v>823</v>
      </c>
      <c r="B618" t="str">
        <f t="shared" ca="1" si="100"/>
        <v>Ms. Kajal Yadav</v>
      </c>
      <c r="C618">
        <f t="shared" ca="1" si="101"/>
        <v>35</v>
      </c>
      <c r="D618" t="str">
        <f t="shared" ca="1" si="102"/>
        <v>Male</v>
      </c>
      <c r="E618">
        <f t="shared" ca="1" si="103"/>
        <v>919432</v>
      </c>
      <c r="F618">
        <f t="shared" ca="1" si="104"/>
        <v>1815826</v>
      </c>
      <c r="G618">
        <f t="shared" ca="1" si="105"/>
        <v>60</v>
      </c>
      <c r="H618">
        <f t="shared" ca="1" si="106"/>
        <v>625</v>
      </c>
      <c r="I618" t="str">
        <f t="shared" ca="1" si="107"/>
        <v>Contract-Based</v>
      </c>
      <c r="J618" t="str">
        <f t="shared" ca="1" si="108"/>
        <v>Car</v>
      </c>
      <c r="K618" t="str">
        <f t="shared" ca="1" si="109"/>
        <v>Approved</v>
      </c>
      <c r="L618">
        <f t="shared" si="96"/>
        <v>971</v>
      </c>
      <c r="M618">
        <f t="shared" ca="1" si="97"/>
        <v>612</v>
      </c>
      <c r="N618">
        <f t="shared" ca="1" si="98"/>
        <v>292</v>
      </c>
      <c r="O618" s="2">
        <f t="shared" ca="1" si="99"/>
        <v>0.63027806385169927</v>
      </c>
    </row>
    <row r="619" spans="1:15" x14ac:dyDescent="0.3">
      <c r="A619" s="3" t="s">
        <v>824</v>
      </c>
      <c r="B619" t="str">
        <f t="shared" ca="1" si="100"/>
        <v>Mr. Amit Das</v>
      </c>
      <c r="C619">
        <f t="shared" ca="1" si="101"/>
        <v>56</v>
      </c>
      <c r="D619" t="str">
        <f t="shared" ca="1" si="102"/>
        <v>Female</v>
      </c>
      <c r="E619">
        <f t="shared" ca="1" si="103"/>
        <v>1870557</v>
      </c>
      <c r="F619">
        <f t="shared" ca="1" si="104"/>
        <v>1383404</v>
      </c>
      <c r="G619">
        <f t="shared" ca="1" si="105"/>
        <v>12</v>
      </c>
      <c r="H619">
        <f t="shared" ca="1" si="106"/>
        <v>375</v>
      </c>
      <c r="I619" t="str">
        <f t="shared" ca="1" si="107"/>
        <v>Salaried</v>
      </c>
      <c r="J619" t="str">
        <f t="shared" ca="1" si="108"/>
        <v>Car</v>
      </c>
      <c r="K619" t="str">
        <f t="shared" ca="1" si="109"/>
        <v>Approved</v>
      </c>
      <c r="L619">
        <f t="shared" si="96"/>
        <v>971</v>
      </c>
      <c r="M619">
        <f t="shared" ca="1" si="97"/>
        <v>612</v>
      </c>
      <c r="N619">
        <f t="shared" ca="1" si="98"/>
        <v>292</v>
      </c>
      <c r="O619" s="2">
        <f t="shared" ca="1" si="99"/>
        <v>0.63027806385169927</v>
      </c>
    </row>
    <row r="620" spans="1:15" x14ac:dyDescent="0.3">
      <c r="A620" s="3" t="s">
        <v>825</v>
      </c>
      <c r="B620" t="str">
        <f t="shared" ca="1" si="100"/>
        <v>Ms. Kajal Yadav</v>
      </c>
      <c r="C620">
        <f t="shared" ca="1" si="101"/>
        <v>35</v>
      </c>
      <c r="D620" t="str">
        <f t="shared" ca="1" si="102"/>
        <v>Male</v>
      </c>
      <c r="E620">
        <f t="shared" ca="1" si="103"/>
        <v>820164</v>
      </c>
      <c r="F620">
        <f t="shared" ca="1" si="104"/>
        <v>2467813</v>
      </c>
      <c r="G620">
        <f t="shared" ca="1" si="105"/>
        <v>36</v>
      </c>
      <c r="H620">
        <f t="shared" ca="1" si="106"/>
        <v>452</v>
      </c>
      <c r="I620" t="str">
        <f t="shared" ca="1" si="107"/>
        <v>Business</v>
      </c>
      <c r="J620" t="str">
        <f t="shared" ca="1" si="108"/>
        <v>Home</v>
      </c>
      <c r="K620" t="str">
        <f t="shared" ca="1" si="109"/>
        <v>Approved</v>
      </c>
      <c r="L620">
        <f t="shared" si="96"/>
        <v>971</v>
      </c>
      <c r="M620">
        <f t="shared" ca="1" si="97"/>
        <v>612</v>
      </c>
      <c r="N620">
        <f t="shared" ca="1" si="98"/>
        <v>292</v>
      </c>
      <c r="O620" s="2">
        <f t="shared" ca="1" si="99"/>
        <v>0.63027806385169927</v>
      </c>
    </row>
    <row r="621" spans="1:15" x14ac:dyDescent="0.3">
      <c r="A621" s="3" t="s">
        <v>826</v>
      </c>
      <c r="B621" t="str">
        <f t="shared" ca="1" si="100"/>
        <v>Mr. Suresh Rao</v>
      </c>
      <c r="C621">
        <f t="shared" ca="1" si="101"/>
        <v>59</v>
      </c>
      <c r="D621" t="str">
        <f t="shared" ca="1" si="102"/>
        <v>Male</v>
      </c>
      <c r="E621">
        <f t="shared" ca="1" si="103"/>
        <v>402880</v>
      </c>
      <c r="F621">
        <f t="shared" ca="1" si="104"/>
        <v>609796</v>
      </c>
      <c r="G621">
        <f t="shared" ca="1" si="105"/>
        <v>84</v>
      </c>
      <c r="H621">
        <f t="shared" ca="1" si="106"/>
        <v>553</v>
      </c>
      <c r="I621" t="str">
        <f t="shared" ca="1" si="107"/>
        <v>Freelancer</v>
      </c>
      <c r="J621" t="str">
        <f t="shared" ca="1" si="108"/>
        <v>Business</v>
      </c>
      <c r="K621" t="str">
        <f t="shared" ca="1" si="109"/>
        <v>Approved</v>
      </c>
      <c r="L621">
        <f t="shared" si="96"/>
        <v>971</v>
      </c>
      <c r="M621">
        <f t="shared" ca="1" si="97"/>
        <v>612</v>
      </c>
      <c r="N621">
        <f t="shared" ca="1" si="98"/>
        <v>292</v>
      </c>
      <c r="O621" s="2">
        <f t="shared" ca="1" si="99"/>
        <v>0.63027806385169927</v>
      </c>
    </row>
    <row r="622" spans="1:15" x14ac:dyDescent="0.3">
      <c r="A622" s="3" t="s">
        <v>827</v>
      </c>
      <c r="B622" t="str">
        <f t="shared" ca="1" si="100"/>
        <v>Ms. Anjali Singh</v>
      </c>
      <c r="C622">
        <f t="shared" ca="1" si="101"/>
        <v>62</v>
      </c>
      <c r="D622" t="str">
        <f t="shared" ca="1" si="102"/>
        <v>Male</v>
      </c>
      <c r="E622">
        <f t="shared" ca="1" si="103"/>
        <v>448558</v>
      </c>
      <c r="F622">
        <f t="shared" ca="1" si="104"/>
        <v>1309344</v>
      </c>
      <c r="G622">
        <f t="shared" ca="1" si="105"/>
        <v>60</v>
      </c>
      <c r="H622">
        <f t="shared" ca="1" si="106"/>
        <v>468</v>
      </c>
      <c r="I622" t="str">
        <f t="shared" ca="1" si="107"/>
        <v>Salaried</v>
      </c>
      <c r="J622" t="str">
        <f t="shared" ca="1" si="108"/>
        <v>Business</v>
      </c>
      <c r="K622" t="str">
        <f t="shared" ca="1" si="109"/>
        <v>Rejected</v>
      </c>
      <c r="L622">
        <f t="shared" si="96"/>
        <v>971</v>
      </c>
      <c r="M622">
        <f t="shared" ca="1" si="97"/>
        <v>612</v>
      </c>
      <c r="N622">
        <f t="shared" ca="1" si="98"/>
        <v>292</v>
      </c>
      <c r="O622" s="2">
        <f t="shared" ca="1" si="99"/>
        <v>0.63027806385169927</v>
      </c>
    </row>
    <row r="623" spans="1:15" x14ac:dyDescent="0.3">
      <c r="A623" s="3" t="s">
        <v>828</v>
      </c>
      <c r="B623" t="str">
        <f t="shared" ca="1" si="100"/>
        <v>Ms. Neha Verma</v>
      </c>
      <c r="C623">
        <f t="shared" ca="1" si="101"/>
        <v>25</v>
      </c>
      <c r="D623" t="str">
        <f t="shared" ca="1" si="102"/>
        <v>Male</v>
      </c>
      <c r="E623">
        <f t="shared" ca="1" si="103"/>
        <v>459094</v>
      </c>
      <c r="F623">
        <f t="shared" ca="1" si="104"/>
        <v>623621</v>
      </c>
      <c r="G623">
        <f t="shared" ca="1" si="105"/>
        <v>84</v>
      </c>
      <c r="H623">
        <f t="shared" ca="1" si="106"/>
        <v>320</v>
      </c>
      <c r="I623" t="str">
        <f t="shared" ca="1" si="107"/>
        <v>Student</v>
      </c>
      <c r="J623" t="str">
        <f t="shared" ca="1" si="108"/>
        <v>Personal</v>
      </c>
      <c r="K623" t="str">
        <f t="shared" ca="1" si="109"/>
        <v>Approved</v>
      </c>
      <c r="L623">
        <f t="shared" si="96"/>
        <v>971</v>
      </c>
      <c r="M623">
        <f t="shared" ca="1" si="97"/>
        <v>612</v>
      </c>
      <c r="N623">
        <f t="shared" ca="1" si="98"/>
        <v>292</v>
      </c>
      <c r="O623" s="2">
        <f t="shared" ca="1" si="99"/>
        <v>0.63027806385169927</v>
      </c>
    </row>
    <row r="624" spans="1:15" x14ac:dyDescent="0.3">
      <c r="A624" s="3" t="s">
        <v>829</v>
      </c>
      <c r="B624" t="str">
        <f t="shared" ca="1" si="100"/>
        <v>Mr. Amit Das</v>
      </c>
      <c r="C624">
        <f t="shared" ca="1" si="101"/>
        <v>53</v>
      </c>
      <c r="D624" t="str">
        <f t="shared" ca="1" si="102"/>
        <v>Male</v>
      </c>
      <c r="E624">
        <f t="shared" ca="1" si="103"/>
        <v>845476</v>
      </c>
      <c r="F624">
        <f t="shared" ca="1" si="104"/>
        <v>1761629</v>
      </c>
      <c r="G624">
        <f t="shared" ca="1" si="105"/>
        <v>72</v>
      </c>
      <c r="H624">
        <f t="shared" ca="1" si="106"/>
        <v>760</v>
      </c>
      <c r="I624" t="str">
        <f t="shared" ca="1" si="107"/>
        <v>Student</v>
      </c>
      <c r="J624" t="str">
        <f t="shared" ca="1" si="108"/>
        <v>Home</v>
      </c>
      <c r="K624" t="str">
        <f t="shared" ca="1" si="109"/>
        <v>Approved</v>
      </c>
      <c r="L624">
        <f t="shared" si="96"/>
        <v>971</v>
      </c>
      <c r="M624">
        <f t="shared" ca="1" si="97"/>
        <v>612</v>
      </c>
      <c r="N624">
        <f t="shared" ca="1" si="98"/>
        <v>292</v>
      </c>
      <c r="O624" s="2">
        <f t="shared" ca="1" si="99"/>
        <v>0.63027806385169927</v>
      </c>
    </row>
    <row r="625" spans="1:15" x14ac:dyDescent="0.3">
      <c r="A625" s="3" t="s">
        <v>830</v>
      </c>
      <c r="B625" t="str">
        <f t="shared" ca="1" si="100"/>
        <v>Mr. Amit Das</v>
      </c>
      <c r="C625">
        <f t="shared" ca="1" si="101"/>
        <v>22</v>
      </c>
      <c r="D625" t="str">
        <f t="shared" ca="1" si="102"/>
        <v>Male</v>
      </c>
      <c r="E625">
        <f t="shared" ca="1" si="103"/>
        <v>1727472</v>
      </c>
      <c r="F625">
        <f t="shared" ca="1" si="104"/>
        <v>1399840</v>
      </c>
      <c r="G625">
        <f t="shared" ca="1" si="105"/>
        <v>36</v>
      </c>
      <c r="H625">
        <f t="shared" ca="1" si="106"/>
        <v>375</v>
      </c>
      <c r="I625" t="str">
        <f t="shared" ca="1" si="107"/>
        <v>Freelancer</v>
      </c>
      <c r="J625" t="str">
        <f t="shared" ca="1" si="108"/>
        <v>Education</v>
      </c>
      <c r="K625" t="str">
        <f t="shared" ca="1" si="109"/>
        <v>Approved</v>
      </c>
      <c r="L625">
        <f t="shared" si="96"/>
        <v>971</v>
      </c>
      <c r="M625">
        <f t="shared" ca="1" si="97"/>
        <v>612</v>
      </c>
      <c r="N625">
        <f t="shared" ca="1" si="98"/>
        <v>292</v>
      </c>
      <c r="O625" s="2">
        <f t="shared" ca="1" si="99"/>
        <v>0.63027806385169927</v>
      </c>
    </row>
    <row r="626" spans="1:15" x14ac:dyDescent="0.3">
      <c r="A626" s="3" t="s">
        <v>831</v>
      </c>
      <c r="B626" t="str">
        <f t="shared" ca="1" si="100"/>
        <v>Ms. Kajal Yadav</v>
      </c>
      <c r="C626">
        <f t="shared" ca="1" si="101"/>
        <v>41</v>
      </c>
      <c r="D626" t="str">
        <f t="shared" ca="1" si="102"/>
        <v>Male</v>
      </c>
      <c r="E626">
        <f t="shared" ca="1" si="103"/>
        <v>576177</v>
      </c>
      <c r="F626">
        <f t="shared" ca="1" si="104"/>
        <v>315698</v>
      </c>
      <c r="G626">
        <f t="shared" ca="1" si="105"/>
        <v>48</v>
      </c>
      <c r="H626">
        <f t="shared" ca="1" si="106"/>
        <v>419</v>
      </c>
      <c r="I626" t="str">
        <f t="shared" ca="1" si="107"/>
        <v>Freelancer</v>
      </c>
      <c r="J626" t="str">
        <f t="shared" ca="1" si="108"/>
        <v>Business</v>
      </c>
      <c r="K626" t="str">
        <f t="shared" ca="1" si="109"/>
        <v>Approved</v>
      </c>
      <c r="L626">
        <f t="shared" si="96"/>
        <v>971</v>
      </c>
      <c r="M626">
        <f t="shared" ca="1" si="97"/>
        <v>612</v>
      </c>
      <c r="N626">
        <f t="shared" ca="1" si="98"/>
        <v>292</v>
      </c>
      <c r="O626" s="2">
        <f t="shared" ca="1" si="99"/>
        <v>0.63027806385169927</v>
      </c>
    </row>
    <row r="627" spans="1:15" x14ac:dyDescent="0.3">
      <c r="A627" s="3" t="s">
        <v>832</v>
      </c>
      <c r="B627" t="str">
        <f t="shared" ca="1" si="100"/>
        <v>Ms. Pooja Patel</v>
      </c>
      <c r="C627">
        <f t="shared" ca="1" si="101"/>
        <v>49</v>
      </c>
      <c r="D627" t="str">
        <f t="shared" ca="1" si="102"/>
        <v>Male</v>
      </c>
      <c r="E627">
        <f t="shared" ca="1" si="103"/>
        <v>574783</v>
      </c>
      <c r="F627">
        <f t="shared" ca="1" si="104"/>
        <v>1090896</v>
      </c>
      <c r="G627">
        <f t="shared" ca="1" si="105"/>
        <v>36</v>
      </c>
      <c r="H627">
        <f t="shared" ca="1" si="106"/>
        <v>393</v>
      </c>
      <c r="I627" t="str">
        <f t="shared" ca="1" si="107"/>
        <v>Salaried</v>
      </c>
      <c r="J627" t="str">
        <f t="shared" ca="1" si="108"/>
        <v>Home</v>
      </c>
      <c r="K627" t="str">
        <f t="shared" ca="1" si="109"/>
        <v>Approved</v>
      </c>
      <c r="L627">
        <f t="shared" si="96"/>
        <v>971</v>
      </c>
      <c r="M627">
        <f t="shared" ca="1" si="97"/>
        <v>612</v>
      </c>
      <c r="N627">
        <f t="shared" ca="1" si="98"/>
        <v>292</v>
      </c>
      <c r="O627" s="2">
        <f t="shared" ca="1" si="99"/>
        <v>0.63027806385169927</v>
      </c>
    </row>
    <row r="628" spans="1:15" x14ac:dyDescent="0.3">
      <c r="A628" s="3" t="s">
        <v>833</v>
      </c>
      <c r="B628" t="str">
        <f t="shared" ca="1" si="100"/>
        <v>Mr. Arun Kumar</v>
      </c>
      <c r="C628">
        <f t="shared" ca="1" si="101"/>
        <v>41</v>
      </c>
      <c r="D628" t="str">
        <f t="shared" ca="1" si="102"/>
        <v>Female</v>
      </c>
      <c r="E628">
        <f t="shared" ca="1" si="103"/>
        <v>1992404</v>
      </c>
      <c r="F628">
        <f t="shared" ca="1" si="104"/>
        <v>2444454</v>
      </c>
      <c r="G628">
        <f t="shared" ca="1" si="105"/>
        <v>36</v>
      </c>
      <c r="H628">
        <f t="shared" ca="1" si="106"/>
        <v>422</v>
      </c>
      <c r="I628" t="str">
        <f t="shared" ca="1" si="107"/>
        <v>Self-Employed</v>
      </c>
      <c r="J628" t="str">
        <f t="shared" ca="1" si="108"/>
        <v>Personal</v>
      </c>
      <c r="K628" t="str">
        <f t="shared" ca="1" si="109"/>
        <v>Approved</v>
      </c>
      <c r="L628">
        <f t="shared" si="96"/>
        <v>971</v>
      </c>
      <c r="M628">
        <f t="shared" ca="1" si="97"/>
        <v>612</v>
      </c>
      <c r="N628">
        <f t="shared" ca="1" si="98"/>
        <v>292</v>
      </c>
      <c r="O628" s="2">
        <f t="shared" ca="1" si="99"/>
        <v>0.63027806385169927</v>
      </c>
    </row>
    <row r="629" spans="1:15" x14ac:dyDescent="0.3">
      <c r="A629" s="3" t="s">
        <v>834</v>
      </c>
      <c r="B629" t="str">
        <f t="shared" ca="1" si="100"/>
        <v>Mr. Raj Kumar</v>
      </c>
      <c r="C629">
        <f t="shared" ca="1" si="101"/>
        <v>63</v>
      </c>
      <c r="D629" t="str">
        <f t="shared" ca="1" si="102"/>
        <v>Female</v>
      </c>
      <c r="E629">
        <f t="shared" ca="1" si="103"/>
        <v>516748</v>
      </c>
      <c r="F629">
        <f t="shared" ca="1" si="104"/>
        <v>2100943</v>
      </c>
      <c r="G629">
        <f t="shared" ca="1" si="105"/>
        <v>60</v>
      </c>
      <c r="H629">
        <f t="shared" ca="1" si="106"/>
        <v>623</v>
      </c>
      <c r="I629" t="str">
        <f t="shared" ca="1" si="107"/>
        <v>Business</v>
      </c>
      <c r="J629" t="str">
        <f t="shared" ca="1" si="108"/>
        <v>Car</v>
      </c>
      <c r="K629" t="str">
        <f t="shared" ca="1" si="109"/>
        <v>Rejected</v>
      </c>
      <c r="L629">
        <f t="shared" si="96"/>
        <v>971</v>
      </c>
      <c r="M629">
        <f t="shared" ca="1" si="97"/>
        <v>612</v>
      </c>
      <c r="N629">
        <f t="shared" ca="1" si="98"/>
        <v>292</v>
      </c>
      <c r="O629" s="2">
        <f t="shared" ca="1" si="99"/>
        <v>0.63027806385169927</v>
      </c>
    </row>
    <row r="630" spans="1:15" x14ac:dyDescent="0.3">
      <c r="A630" s="3" t="s">
        <v>835</v>
      </c>
      <c r="B630" t="str">
        <f t="shared" ca="1" si="100"/>
        <v>Ms. Priya Sharma</v>
      </c>
      <c r="C630">
        <f t="shared" ca="1" si="101"/>
        <v>49</v>
      </c>
      <c r="D630" t="str">
        <f t="shared" ca="1" si="102"/>
        <v>Female</v>
      </c>
      <c r="E630">
        <f t="shared" ca="1" si="103"/>
        <v>1996788</v>
      </c>
      <c r="F630">
        <f t="shared" ca="1" si="104"/>
        <v>2319815</v>
      </c>
      <c r="G630">
        <f t="shared" ca="1" si="105"/>
        <v>24</v>
      </c>
      <c r="H630">
        <f t="shared" ca="1" si="106"/>
        <v>644</v>
      </c>
      <c r="I630" t="str">
        <f t="shared" ca="1" si="107"/>
        <v>Salaried</v>
      </c>
      <c r="J630" t="str">
        <f t="shared" ca="1" si="108"/>
        <v>Car</v>
      </c>
      <c r="K630" t="str">
        <f t="shared" ca="1" si="109"/>
        <v>Approved</v>
      </c>
      <c r="L630">
        <f t="shared" si="96"/>
        <v>971</v>
      </c>
      <c r="M630">
        <f t="shared" ca="1" si="97"/>
        <v>612</v>
      </c>
      <c r="N630">
        <f t="shared" ca="1" si="98"/>
        <v>292</v>
      </c>
      <c r="O630" s="2">
        <f t="shared" ca="1" si="99"/>
        <v>0.63027806385169927</v>
      </c>
    </row>
    <row r="631" spans="1:15" x14ac:dyDescent="0.3">
      <c r="A631" s="3" t="s">
        <v>836</v>
      </c>
      <c r="B631" t="str">
        <f t="shared" ca="1" si="100"/>
        <v>Ms. Kajal Yadav</v>
      </c>
      <c r="C631">
        <f t="shared" ca="1" si="101"/>
        <v>47</v>
      </c>
      <c r="D631" t="str">
        <f t="shared" ca="1" si="102"/>
        <v>Female</v>
      </c>
      <c r="E631">
        <f t="shared" ca="1" si="103"/>
        <v>237884</v>
      </c>
      <c r="F631">
        <f t="shared" ca="1" si="104"/>
        <v>968809</v>
      </c>
      <c r="G631">
        <f t="shared" ca="1" si="105"/>
        <v>12</v>
      </c>
      <c r="H631">
        <f t="shared" ca="1" si="106"/>
        <v>743</v>
      </c>
      <c r="I631" t="str">
        <f t="shared" ca="1" si="107"/>
        <v>Contract-Based</v>
      </c>
      <c r="J631" t="str">
        <f t="shared" ca="1" si="108"/>
        <v>Education</v>
      </c>
      <c r="K631" t="str">
        <f t="shared" ca="1" si="109"/>
        <v>Approved</v>
      </c>
      <c r="L631">
        <f t="shared" si="96"/>
        <v>971</v>
      </c>
      <c r="M631">
        <f t="shared" ca="1" si="97"/>
        <v>612</v>
      </c>
      <c r="N631">
        <f t="shared" ca="1" si="98"/>
        <v>292</v>
      </c>
      <c r="O631" s="2">
        <f t="shared" ca="1" si="99"/>
        <v>0.63027806385169927</v>
      </c>
    </row>
    <row r="632" spans="1:15" x14ac:dyDescent="0.3">
      <c r="A632" s="3" t="s">
        <v>837</v>
      </c>
      <c r="B632" t="str">
        <f t="shared" ca="1" si="100"/>
        <v>Ms. Priya Sharma</v>
      </c>
      <c r="C632">
        <f t="shared" ca="1" si="101"/>
        <v>33</v>
      </c>
      <c r="D632" t="str">
        <f t="shared" ca="1" si="102"/>
        <v>Female</v>
      </c>
      <c r="E632">
        <f t="shared" ca="1" si="103"/>
        <v>1164651</v>
      </c>
      <c r="F632">
        <f t="shared" ca="1" si="104"/>
        <v>1319410</v>
      </c>
      <c r="G632">
        <f t="shared" ca="1" si="105"/>
        <v>24</v>
      </c>
      <c r="H632">
        <f t="shared" ca="1" si="106"/>
        <v>330</v>
      </c>
      <c r="I632" t="str">
        <f t="shared" ca="1" si="107"/>
        <v>Freelancer</v>
      </c>
      <c r="J632" t="str">
        <f t="shared" ca="1" si="108"/>
        <v>Personal</v>
      </c>
      <c r="K632" t="str">
        <f t="shared" ca="1" si="109"/>
        <v>Rejected</v>
      </c>
      <c r="L632">
        <f t="shared" si="96"/>
        <v>971</v>
      </c>
      <c r="M632">
        <f t="shared" ca="1" si="97"/>
        <v>612</v>
      </c>
      <c r="N632">
        <f t="shared" ca="1" si="98"/>
        <v>292</v>
      </c>
      <c r="O632" s="2">
        <f t="shared" ca="1" si="99"/>
        <v>0.63027806385169927</v>
      </c>
    </row>
    <row r="633" spans="1:15" x14ac:dyDescent="0.3">
      <c r="A633" s="3" t="s">
        <v>838</v>
      </c>
      <c r="B633" t="str">
        <f t="shared" ca="1" si="100"/>
        <v>Ms. Kajal Yadav</v>
      </c>
      <c r="C633">
        <f t="shared" ca="1" si="101"/>
        <v>63</v>
      </c>
      <c r="D633" t="str">
        <f t="shared" ca="1" si="102"/>
        <v>Female</v>
      </c>
      <c r="E633">
        <f t="shared" ca="1" si="103"/>
        <v>1445995</v>
      </c>
      <c r="F633">
        <f t="shared" ca="1" si="104"/>
        <v>2199654</v>
      </c>
      <c r="G633">
        <f t="shared" ca="1" si="105"/>
        <v>84</v>
      </c>
      <c r="H633">
        <f t="shared" ca="1" si="106"/>
        <v>774</v>
      </c>
      <c r="I633" t="str">
        <f t="shared" ca="1" si="107"/>
        <v>Freelancer</v>
      </c>
      <c r="J633" t="str">
        <f t="shared" ca="1" si="108"/>
        <v>Personal</v>
      </c>
      <c r="K633" t="str">
        <f t="shared" ca="1" si="109"/>
        <v>Rejected</v>
      </c>
      <c r="L633">
        <f t="shared" si="96"/>
        <v>971</v>
      </c>
      <c r="M633">
        <f t="shared" ca="1" si="97"/>
        <v>612</v>
      </c>
      <c r="N633">
        <f t="shared" ca="1" si="98"/>
        <v>292</v>
      </c>
      <c r="O633" s="2">
        <f t="shared" ca="1" si="99"/>
        <v>0.63027806385169927</v>
      </c>
    </row>
    <row r="634" spans="1:15" x14ac:dyDescent="0.3">
      <c r="A634" s="3" t="s">
        <v>839</v>
      </c>
      <c r="B634" t="str">
        <f t="shared" ca="1" si="100"/>
        <v>Ms. Pooja Patel</v>
      </c>
      <c r="C634">
        <f t="shared" ca="1" si="101"/>
        <v>61</v>
      </c>
      <c r="D634" t="str">
        <f t="shared" ca="1" si="102"/>
        <v>Female</v>
      </c>
      <c r="E634">
        <f t="shared" ca="1" si="103"/>
        <v>1111381</v>
      </c>
      <c r="F634">
        <f t="shared" ca="1" si="104"/>
        <v>1394485</v>
      </c>
      <c r="G634">
        <f t="shared" ca="1" si="105"/>
        <v>12</v>
      </c>
      <c r="H634">
        <f t="shared" ca="1" si="106"/>
        <v>458</v>
      </c>
      <c r="I634" t="str">
        <f t="shared" ca="1" si="107"/>
        <v>Salaried</v>
      </c>
      <c r="J634" t="str">
        <f t="shared" ca="1" si="108"/>
        <v>Home</v>
      </c>
      <c r="K634" t="str">
        <f t="shared" ca="1" si="109"/>
        <v>Approved</v>
      </c>
      <c r="L634">
        <f t="shared" si="96"/>
        <v>971</v>
      </c>
      <c r="M634">
        <f t="shared" ca="1" si="97"/>
        <v>612</v>
      </c>
      <c r="N634">
        <f t="shared" ca="1" si="98"/>
        <v>292</v>
      </c>
      <c r="O634" s="2">
        <f t="shared" ca="1" si="99"/>
        <v>0.63027806385169927</v>
      </c>
    </row>
    <row r="635" spans="1:15" x14ac:dyDescent="0.3">
      <c r="A635" s="3" t="s">
        <v>840</v>
      </c>
      <c r="B635" t="str">
        <f t="shared" ca="1" si="100"/>
        <v>Mr. Raj Kumar</v>
      </c>
      <c r="C635">
        <f t="shared" ca="1" si="101"/>
        <v>40</v>
      </c>
      <c r="D635" t="str">
        <f t="shared" ca="1" si="102"/>
        <v>Female</v>
      </c>
      <c r="E635">
        <f t="shared" ca="1" si="103"/>
        <v>1474111</v>
      </c>
      <c r="F635">
        <f t="shared" ca="1" si="104"/>
        <v>934869</v>
      </c>
      <c r="G635">
        <f t="shared" ca="1" si="105"/>
        <v>24</v>
      </c>
      <c r="H635">
        <f t="shared" ca="1" si="106"/>
        <v>357</v>
      </c>
      <c r="I635" t="str">
        <f t="shared" ca="1" si="107"/>
        <v>Freelancer</v>
      </c>
      <c r="J635" t="str">
        <f t="shared" ca="1" si="108"/>
        <v>Business</v>
      </c>
      <c r="K635" t="str">
        <f t="shared" ca="1" si="109"/>
        <v>Rejected</v>
      </c>
      <c r="L635">
        <f t="shared" si="96"/>
        <v>971</v>
      </c>
      <c r="M635">
        <f t="shared" ca="1" si="97"/>
        <v>612</v>
      </c>
      <c r="N635">
        <f t="shared" ca="1" si="98"/>
        <v>292</v>
      </c>
      <c r="O635" s="2">
        <f t="shared" ca="1" si="99"/>
        <v>0.63027806385169927</v>
      </c>
    </row>
    <row r="636" spans="1:15" x14ac:dyDescent="0.3">
      <c r="A636" s="3" t="s">
        <v>841</v>
      </c>
      <c r="B636" t="str">
        <f t="shared" ca="1" si="100"/>
        <v>Mr. Rohan Gupta</v>
      </c>
      <c r="C636">
        <f t="shared" ca="1" si="101"/>
        <v>58</v>
      </c>
      <c r="D636" t="str">
        <f t="shared" ca="1" si="102"/>
        <v>Female</v>
      </c>
      <c r="E636">
        <f t="shared" ca="1" si="103"/>
        <v>1545150</v>
      </c>
      <c r="F636">
        <f t="shared" ca="1" si="104"/>
        <v>2152123</v>
      </c>
      <c r="G636">
        <f t="shared" ca="1" si="105"/>
        <v>60</v>
      </c>
      <c r="H636">
        <f t="shared" ca="1" si="106"/>
        <v>722</v>
      </c>
      <c r="I636" t="str">
        <f t="shared" ca="1" si="107"/>
        <v>Student</v>
      </c>
      <c r="J636" t="str">
        <f t="shared" ca="1" si="108"/>
        <v>Home</v>
      </c>
      <c r="K636" t="str">
        <f t="shared" ca="1" si="109"/>
        <v>Approved</v>
      </c>
      <c r="L636">
        <f t="shared" si="96"/>
        <v>971</v>
      </c>
      <c r="M636">
        <f t="shared" ca="1" si="97"/>
        <v>612</v>
      </c>
      <c r="N636">
        <f t="shared" ca="1" si="98"/>
        <v>292</v>
      </c>
      <c r="O636" s="2">
        <f t="shared" ca="1" si="99"/>
        <v>0.63027806385169927</v>
      </c>
    </row>
    <row r="637" spans="1:15" x14ac:dyDescent="0.3">
      <c r="A637" s="3" t="s">
        <v>842</v>
      </c>
      <c r="B637" t="str">
        <f t="shared" ca="1" si="100"/>
        <v>Ms. Priya Sharma</v>
      </c>
      <c r="C637">
        <f t="shared" ca="1" si="101"/>
        <v>24</v>
      </c>
      <c r="D637" t="str">
        <f t="shared" ca="1" si="102"/>
        <v>Male</v>
      </c>
      <c r="E637">
        <f t="shared" ca="1" si="103"/>
        <v>1418761</v>
      </c>
      <c r="F637">
        <f t="shared" ca="1" si="104"/>
        <v>1563261</v>
      </c>
      <c r="G637">
        <f t="shared" ca="1" si="105"/>
        <v>72</v>
      </c>
      <c r="H637">
        <f t="shared" ca="1" si="106"/>
        <v>711</v>
      </c>
      <c r="I637" t="str">
        <f t="shared" ca="1" si="107"/>
        <v>Freelancer</v>
      </c>
      <c r="J637" t="str">
        <f t="shared" ca="1" si="108"/>
        <v>Personal</v>
      </c>
      <c r="K637" t="str">
        <f t="shared" ca="1" si="109"/>
        <v>Approved</v>
      </c>
      <c r="L637">
        <f t="shared" si="96"/>
        <v>971</v>
      </c>
      <c r="M637">
        <f t="shared" ca="1" si="97"/>
        <v>612</v>
      </c>
      <c r="N637">
        <f t="shared" ca="1" si="98"/>
        <v>292</v>
      </c>
      <c r="O637" s="2">
        <f t="shared" ca="1" si="99"/>
        <v>0.63027806385169927</v>
      </c>
    </row>
    <row r="638" spans="1:15" x14ac:dyDescent="0.3">
      <c r="A638" s="3" t="s">
        <v>843</v>
      </c>
      <c r="B638" t="str">
        <f t="shared" ca="1" si="100"/>
        <v>Mr. Rohan Gupta</v>
      </c>
      <c r="C638">
        <f t="shared" ca="1" si="101"/>
        <v>40</v>
      </c>
      <c r="D638" t="str">
        <f t="shared" ca="1" si="102"/>
        <v>Male</v>
      </c>
      <c r="E638">
        <f t="shared" ca="1" si="103"/>
        <v>1564156</v>
      </c>
      <c r="F638">
        <f t="shared" ca="1" si="104"/>
        <v>1064765</v>
      </c>
      <c r="G638">
        <f t="shared" ca="1" si="105"/>
        <v>84</v>
      </c>
      <c r="H638">
        <f t="shared" ca="1" si="106"/>
        <v>463</v>
      </c>
      <c r="I638" t="str">
        <f t="shared" ca="1" si="107"/>
        <v>Contract-Based</v>
      </c>
      <c r="J638" t="str">
        <f t="shared" ca="1" si="108"/>
        <v>Personal</v>
      </c>
      <c r="K638" t="str">
        <f t="shared" ca="1" si="109"/>
        <v>Rejected</v>
      </c>
      <c r="L638">
        <f t="shared" si="96"/>
        <v>971</v>
      </c>
      <c r="M638">
        <f t="shared" ca="1" si="97"/>
        <v>612</v>
      </c>
      <c r="N638">
        <f t="shared" ca="1" si="98"/>
        <v>292</v>
      </c>
      <c r="O638" s="2">
        <f t="shared" ca="1" si="99"/>
        <v>0.63027806385169927</v>
      </c>
    </row>
    <row r="639" spans="1:15" x14ac:dyDescent="0.3">
      <c r="A639" s="3" t="s">
        <v>844</v>
      </c>
      <c r="B639" t="str">
        <f t="shared" ca="1" si="100"/>
        <v>Mr. Rohan Gupta</v>
      </c>
      <c r="C639">
        <f t="shared" ca="1" si="101"/>
        <v>31</v>
      </c>
      <c r="D639" t="str">
        <f t="shared" ca="1" si="102"/>
        <v>Male</v>
      </c>
      <c r="E639">
        <f t="shared" ca="1" si="103"/>
        <v>1316428</v>
      </c>
      <c r="F639">
        <f t="shared" ca="1" si="104"/>
        <v>2013948</v>
      </c>
      <c r="G639">
        <f t="shared" ca="1" si="105"/>
        <v>48</v>
      </c>
      <c r="H639">
        <f t="shared" ca="1" si="106"/>
        <v>325</v>
      </c>
      <c r="I639" t="str">
        <f t="shared" ca="1" si="107"/>
        <v>Business</v>
      </c>
      <c r="J639" t="str">
        <f t="shared" ca="1" si="108"/>
        <v>Education</v>
      </c>
      <c r="K639" t="str">
        <f t="shared" ca="1" si="109"/>
        <v>Approved</v>
      </c>
      <c r="L639">
        <f t="shared" si="96"/>
        <v>971</v>
      </c>
      <c r="M639">
        <f t="shared" ca="1" si="97"/>
        <v>612</v>
      </c>
      <c r="N639">
        <f t="shared" ca="1" si="98"/>
        <v>292</v>
      </c>
      <c r="O639" s="2">
        <f t="shared" ca="1" si="99"/>
        <v>0.63027806385169927</v>
      </c>
    </row>
    <row r="640" spans="1:15" x14ac:dyDescent="0.3">
      <c r="A640" s="3" t="s">
        <v>845</v>
      </c>
      <c r="B640" t="str">
        <f t="shared" ca="1" si="100"/>
        <v>Ms. Neha Verma</v>
      </c>
      <c r="C640">
        <f t="shared" ca="1" si="101"/>
        <v>45</v>
      </c>
      <c r="D640" t="str">
        <f t="shared" ca="1" si="102"/>
        <v>Female</v>
      </c>
      <c r="E640">
        <f t="shared" ca="1" si="103"/>
        <v>1755642</v>
      </c>
      <c r="F640">
        <f t="shared" ca="1" si="104"/>
        <v>2228007</v>
      </c>
      <c r="G640">
        <f t="shared" ca="1" si="105"/>
        <v>24</v>
      </c>
      <c r="H640">
        <f t="shared" ca="1" si="106"/>
        <v>759</v>
      </c>
      <c r="I640" t="str">
        <f t="shared" ca="1" si="107"/>
        <v>Student</v>
      </c>
      <c r="J640" t="str">
        <f t="shared" ca="1" si="108"/>
        <v>Car</v>
      </c>
      <c r="K640" t="str">
        <f t="shared" ca="1" si="109"/>
        <v>Approved</v>
      </c>
      <c r="L640">
        <f t="shared" si="96"/>
        <v>971</v>
      </c>
      <c r="M640">
        <f t="shared" ca="1" si="97"/>
        <v>612</v>
      </c>
      <c r="N640">
        <f t="shared" ca="1" si="98"/>
        <v>292</v>
      </c>
      <c r="O640" s="2">
        <f t="shared" ca="1" si="99"/>
        <v>0.63027806385169927</v>
      </c>
    </row>
    <row r="641" spans="1:15" x14ac:dyDescent="0.3">
      <c r="A641" s="3" t="s">
        <v>846</v>
      </c>
      <c r="B641" t="str">
        <f t="shared" ca="1" si="100"/>
        <v>Mr. Arun Kumar</v>
      </c>
      <c r="C641">
        <f t="shared" ca="1" si="101"/>
        <v>39</v>
      </c>
      <c r="D641" t="str">
        <f t="shared" ca="1" si="102"/>
        <v>Female</v>
      </c>
      <c r="E641">
        <f t="shared" ca="1" si="103"/>
        <v>1735066</v>
      </c>
      <c r="F641">
        <f t="shared" ca="1" si="104"/>
        <v>1689298</v>
      </c>
      <c r="G641">
        <f t="shared" ca="1" si="105"/>
        <v>36</v>
      </c>
      <c r="H641">
        <f t="shared" ca="1" si="106"/>
        <v>484</v>
      </c>
      <c r="I641" t="str">
        <f t="shared" ca="1" si="107"/>
        <v>Business</v>
      </c>
      <c r="J641" t="str">
        <f t="shared" ca="1" si="108"/>
        <v>Personal</v>
      </c>
      <c r="K641" t="str">
        <f t="shared" ca="1" si="109"/>
        <v>Approved</v>
      </c>
      <c r="L641">
        <f t="shared" si="96"/>
        <v>971</v>
      </c>
      <c r="M641">
        <f t="shared" ca="1" si="97"/>
        <v>612</v>
      </c>
      <c r="N641">
        <f t="shared" ca="1" si="98"/>
        <v>292</v>
      </c>
      <c r="O641" s="2">
        <f t="shared" ca="1" si="99"/>
        <v>0.63027806385169927</v>
      </c>
    </row>
    <row r="642" spans="1:15" x14ac:dyDescent="0.3">
      <c r="A642" s="3" t="s">
        <v>847</v>
      </c>
      <c r="B642" t="str">
        <f t="shared" ca="1" si="100"/>
        <v>Ms. Anjali Singh</v>
      </c>
      <c r="C642">
        <f t="shared" ca="1" si="101"/>
        <v>22</v>
      </c>
      <c r="D642" t="str">
        <f t="shared" ca="1" si="102"/>
        <v>Male</v>
      </c>
      <c r="E642">
        <f t="shared" ca="1" si="103"/>
        <v>358055</v>
      </c>
      <c r="F642">
        <f t="shared" ca="1" si="104"/>
        <v>1031349</v>
      </c>
      <c r="G642">
        <f t="shared" ca="1" si="105"/>
        <v>84</v>
      </c>
      <c r="H642">
        <f t="shared" ca="1" si="106"/>
        <v>832</v>
      </c>
      <c r="I642" t="str">
        <f t="shared" ca="1" si="107"/>
        <v>Freelancer</v>
      </c>
      <c r="J642" t="str">
        <f t="shared" ca="1" si="108"/>
        <v>Personal</v>
      </c>
      <c r="K642" t="str">
        <f t="shared" ca="1" si="109"/>
        <v>Approved</v>
      </c>
      <c r="L642">
        <f t="shared" ref="L642:L705" si="110">COUNTA($A$2:$A$1001)</f>
        <v>971</v>
      </c>
      <c r="M642">
        <f t="shared" ca="1" si="97"/>
        <v>612</v>
      </c>
      <c r="N642">
        <f t="shared" ca="1" si="98"/>
        <v>292</v>
      </c>
      <c r="O642" s="2">
        <f t="shared" ca="1" si="99"/>
        <v>0.63027806385169927</v>
      </c>
    </row>
    <row r="643" spans="1:15" x14ac:dyDescent="0.3">
      <c r="A643" s="3" t="s">
        <v>848</v>
      </c>
      <c r="B643" t="str">
        <f t="shared" ca="1" si="100"/>
        <v>Ms. Anjali Singh</v>
      </c>
      <c r="C643">
        <f t="shared" ca="1" si="101"/>
        <v>30</v>
      </c>
      <c r="D643" t="str">
        <f t="shared" ca="1" si="102"/>
        <v>Female</v>
      </c>
      <c r="E643">
        <f t="shared" ca="1" si="103"/>
        <v>442818</v>
      </c>
      <c r="F643">
        <f t="shared" ca="1" si="104"/>
        <v>66234</v>
      </c>
      <c r="G643">
        <f t="shared" ca="1" si="105"/>
        <v>12</v>
      </c>
      <c r="H643">
        <f t="shared" ca="1" si="106"/>
        <v>587</v>
      </c>
      <c r="I643" t="str">
        <f t="shared" ca="1" si="107"/>
        <v>Student</v>
      </c>
      <c r="J643" t="str">
        <f t="shared" ca="1" si="108"/>
        <v>Personal</v>
      </c>
      <c r="K643" t="str">
        <f t="shared" ca="1" si="109"/>
        <v>Approved</v>
      </c>
      <c r="L643">
        <f t="shared" si="110"/>
        <v>971</v>
      </c>
      <c r="M643">
        <f t="shared" ref="M643:M706" ca="1" si="111">COUNTIF($K$2:$K$1001,"Approved")</f>
        <v>612</v>
      </c>
      <c r="N643">
        <f t="shared" ref="N643:N706" ca="1" si="112">COUNTIF($K$2:$K$1001,"Rejected")</f>
        <v>292</v>
      </c>
      <c r="O643" s="2">
        <f t="shared" ref="O643:O706" ca="1" si="113">COUNTIF($K$2:$K$1001,"Approved") / COUNTA($A$2:$A$1001)</f>
        <v>0.63027806385169927</v>
      </c>
    </row>
    <row r="644" spans="1:15" x14ac:dyDescent="0.3">
      <c r="A644" s="3" t="s">
        <v>849</v>
      </c>
      <c r="B644" t="str">
        <f t="shared" ca="1" si="100"/>
        <v>Mr. Arun Kumar</v>
      </c>
      <c r="C644">
        <f t="shared" ca="1" si="101"/>
        <v>45</v>
      </c>
      <c r="D644" t="str">
        <f t="shared" ca="1" si="102"/>
        <v>Male</v>
      </c>
      <c r="E644">
        <f t="shared" ca="1" si="103"/>
        <v>1877512</v>
      </c>
      <c r="F644">
        <f t="shared" ca="1" si="104"/>
        <v>2484974</v>
      </c>
      <c r="G644">
        <f t="shared" ca="1" si="105"/>
        <v>36</v>
      </c>
      <c r="H644">
        <f t="shared" ca="1" si="106"/>
        <v>751</v>
      </c>
      <c r="I644" t="str">
        <f t="shared" ca="1" si="107"/>
        <v>Salaried</v>
      </c>
      <c r="J644" t="str">
        <f t="shared" ca="1" si="108"/>
        <v>Business</v>
      </c>
      <c r="K644" t="str">
        <f t="shared" ca="1" si="109"/>
        <v>Approved</v>
      </c>
      <c r="L644">
        <f t="shared" si="110"/>
        <v>971</v>
      </c>
      <c r="M644">
        <f t="shared" ca="1" si="111"/>
        <v>612</v>
      </c>
      <c r="N644">
        <f t="shared" ca="1" si="112"/>
        <v>292</v>
      </c>
      <c r="O644" s="2">
        <f t="shared" ca="1" si="113"/>
        <v>0.63027806385169927</v>
      </c>
    </row>
    <row r="645" spans="1:15" x14ac:dyDescent="0.3">
      <c r="A645" s="3" t="s">
        <v>850</v>
      </c>
      <c r="B645" t="str">
        <f t="shared" ca="1" si="100"/>
        <v>Ms. Anjali Singh</v>
      </c>
      <c r="C645">
        <f t="shared" ca="1" si="101"/>
        <v>47</v>
      </c>
      <c r="D645" t="str">
        <f t="shared" ca="1" si="102"/>
        <v>Male</v>
      </c>
      <c r="E645">
        <f t="shared" ca="1" si="103"/>
        <v>997422</v>
      </c>
      <c r="F645">
        <f t="shared" ca="1" si="104"/>
        <v>1081131</v>
      </c>
      <c r="G645">
        <f t="shared" ca="1" si="105"/>
        <v>60</v>
      </c>
      <c r="H645">
        <f t="shared" ca="1" si="106"/>
        <v>380</v>
      </c>
      <c r="I645" t="str">
        <f t="shared" ca="1" si="107"/>
        <v>Contract-Based</v>
      </c>
      <c r="J645" t="str">
        <f t="shared" ca="1" si="108"/>
        <v>Home</v>
      </c>
      <c r="K645" t="str">
        <f t="shared" ca="1" si="109"/>
        <v>Rejected</v>
      </c>
      <c r="L645">
        <f t="shared" si="110"/>
        <v>971</v>
      </c>
      <c r="M645">
        <f t="shared" ca="1" si="111"/>
        <v>612</v>
      </c>
      <c r="N645">
        <f t="shared" ca="1" si="112"/>
        <v>292</v>
      </c>
      <c r="O645" s="2">
        <f t="shared" ca="1" si="113"/>
        <v>0.63027806385169927</v>
      </c>
    </row>
    <row r="646" spans="1:15" x14ac:dyDescent="0.3">
      <c r="A646" s="3" t="s">
        <v>851</v>
      </c>
      <c r="B646" t="str">
        <f t="shared" ca="1" si="100"/>
        <v>Mr. Suresh Rao</v>
      </c>
      <c r="C646">
        <f t="shared" ca="1" si="101"/>
        <v>41</v>
      </c>
      <c r="D646" t="str">
        <f t="shared" ca="1" si="102"/>
        <v>Female</v>
      </c>
      <c r="E646">
        <f t="shared" ca="1" si="103"/>
        <v>1098182</v>
      </c>
      <c r="F646">
        <f t="shared" ca="1" si="104"/>
        <v>340613</v>
      </c>
      <c r="G646">
        <f t="shared" ca="1" si="105"/>
        <v>24</v>
      </c>
      <c r="H646">
        <f t="shared" ca="1" si="106"/>
        <v>550</v>
      </c>
      <c r="I646" t="str">
        <f t="shared" ca="1" si="107"/>
        <v>Contract-Based</v>
      </c>
      <c r="J646" t="str">
        <f t="shared" ca="1" si="108"/>
        <v>Personal</v>
      </c>
      <c r="K646" t="str">
        <f t="shared" ca="1" si="109"/>
        <v>Approved</v>
      </c>
      <c r="L646">
        <f t="shared" si="110"/>
        <v>971</v>
      </c>
      <c r="M646">
        <f t="shared" ca="1" si="111"/>
        <v>612</v>
      </c>
      <c r="N646">
        <f t="shared" ca="1" si="112"/>
        <v>292</v>
      </c>
      <c r="O646" s="2">
        <f t="shared" ca="1" si="113"/>
        <v>0.63027806385169927</v>
      </c>
    </row>
    <row r="647" spans="1:15" x14ac:dyDescent="0.3">
      <c r="A647" s="3" t="s">
        <v>852</v>
      </c>
      <c r="B647" t="str">
        <f t="shared" ca="1" si="100"/>
        <v>Mr. Raj Kumar</v>
      </c>
      <c r="C647">
        <f t="shared" ca="1" si="101"/>
        <v>46</v>
      </c>
      <c r="D647" t="str">
        <f t="shared" ca="1" si="102"/>
        <v>Female</v>
      </c>
      <c r="E647">
        <f t="shared" ca="1" si="103"/>
        <v>1137120</v>
      </c>
      <c r="F647">
        <f t="shared" ca="1" si="104"/>
        <v>584418</v>
      </c>
      <c r="G647">
        <f t="shared" ca="1" si="105"/>
        <v>48</v>
      </c>
      <c r="H647">
        <f t="shared" ca="1" si="106"/>
        <v>460</v>
      </c>
      <c r="I647" t="str">
        <f t="shared" ca="1" si="107"/>
        <v>Salaried</v>
      </c>
      <c r="J647" t="str">
        <f t="shared" ca="1" si="108"/>
        <v>Business</v>
      </c>
      <c r="K647" t="str">
        <f t="shared" ca="1" si="109"/>
        <v>Approved</v>
      </c>
      <c r="L647">
        <f t="shared" si="110"/>
        <v>971</v>
      </c>
      <c r="M647">
        <f t="shared" ca="1" si="111"/>
        <v>612</v>
      </c>
      <c r="N647">
        <f t="shared" ca="1" si="112"/>
        <v>292</v>
      </c>
      <c r="O647" s="2">
        <f t="shared" ca="1" si="113"/>
        <v>0.63027806385169927</v>
      </c>
    </row>
    <row r="648" spans="1:15" x14ac:dyDescent="0.3">
      <c r="A648" s="3" t="s">
        <v>853</v>
      </c>
      <c r="B648" t="str">
        <f t="shared" ca="1" si="100"/>
        <v>Mr. Suresh Rao</v>
      </c>
      <c r="C648">
        <f t="shared" ca="1" si="101"/>
        <v>63</v>
      </c>
      <c r="D648" t="str">
        <f t="shared" ca="1" si="102"/>
        <v>Female</v>
      </c>
      <c r="E648">
        <f t="shared" ca="1" si="103"/>
        <v>1698839</v>
      </c>
      <c r="F648">
        <f t="shared" ca="1" si="104"/>
        <v>1064739</v>
      </c>
      <c r="G648">
        <f t="shared" ca="1" si="105"/>
        <v>24</v>
      </c>
      <c r="H648">
        <f t="shared" ca="1" si="106"/>
        <v>381</v>
      </c>
      <c r="I648" t="str">
        <f t="shared" ca="1" si="107"/>
        <v>Freelancer</v>
      </c>
      <c r="J648" t="str">
        <f t="shared" ca="1" si="108"/>
        <v>Business</v>
      </c>
      <c r="K648" t="str">
        <f t="shared" ca="1" si="109"/>
        <v>Approved</v>
      </c>
      <c r="L648">
        <f t="shared" si="110"/>
        <v>971</v>
      </c>
      <c r="M648">
        <f t="shared" ca="1" si="111"/>
        <v>612</v>
      </c>
      <c r="N648">
        <f t="shared" ca="1" si="112"/>
        <v>292</v>
      </c>
      <c r="O648" s="2">
        <f t="shared" ca="1" si="113"/>
        <v>0.63027806385169927</v>
      </c>
    </row>
    <row r="649" spans="1:15" x14ac:dyDescent="0.3">
      <c r="A649" s="3" t="s">
        <v>854</v>
      </c>
      <c r="B649" t="str">
        <f t="shared" ca="1" si="100"/>
        <v>Mr. Arun Kumar</v>
      </c>
      <c r="C649">
        <f t="shared" ca="1" si="101"/>
        <v>33</v>
      </c>
      <c r="D649" t="str">
        <f t="shared" ca="1" si="102"/>
        <v>Male</v>
      </c>
      <c r="E649">
        <f t="shared" ca="1" si="103"/>
        <v>904486</v>
      </c>
      <c r="F649">
        <f t="shared" ca="1" si="104"/>
        <v>1804894</v>
      </c>
      <c r="G649">
        <f t="shared" ca="1" si="105"/>
        <v>72</v>
      </c>
      <c r="H649">
        <f t="shared" ca="1" si="106"/>
        <v>668</v>
      </c>
      <c r="I649" t="str">
        <f t="shared" ca="1" si="107"/>
        <v>Freelancer</v>
      </c>
      <c r="J649" t="str">
        <f t="shared" ca="1" si="108"/>
        <v>Home</v>
      </c>
      <c r="K649" t="str">
        <f t="shared" ca="1" si="109"/>
        <v>Approved</v>
      </c>
      <c r="L649">
        <f t="shared" si="110"/>
        <v>971</v>
      </c>
      <c r="M649">
        <f t="shared" ca="1" si="111"/>
        <v>612</v>
      </c>
      <c r="N649">
        <f t="shared" ca="1" si="112"/>
        <v>292</v>
      </c>
      <c r="O649" s="2">
        <f t="shared" ca="1" si="113"/>
        <v>0.63027806385169927</v>
      </c>
    </row>
    <row r="650" spans="1:15" x14ac:dyDescent="0.3">
      <c r="A650" s="3" t="s">
        <v>855</v>
      </c>
      <c r="B650" t="str">
        <f t="shared" ca="1" si="100"/>
        <v>Mr. Raj Kumar</v>
      </c>
      <c r="C650">
        <f t="shared" ca="1" si="101"/>
        <v>29</v>
      </c>
      <c r="D650" t="str">
        <f t="shared" ca="1" si="102"/>
        <v>Male</v>
      </c>
      <c r="E650">
        <f t="shared" ca="1" si="103"/>
        <v>712926</v>
      </c>
      <c r="F650">
        <f t="shared" ca="1" si="104"/>
        <v>1355508</v>
      </c>
      <c r="G650">
        <f t="shared" ca="1" si="105"/>
        <v>60</v>
      </c>
      <c r="H650">
        <f t="shared" ca="1" si="106"/>
        <v>848</v>
      </c>
      <c r="I650" t="str">
        <f t="shared" ca="1" si="107"/>
        <v>Business</v>
      </c>
      <c r="J650" t="str">
        <f t="shared" ca="1" si="108"/>
        <v>Personal</v>
      </c>
      <c r="K650" t="str">
        <f t="shared" ca="1" si="109"/>
        <v>Approved</v>
      </c>
      <c r="L650">
        <f t="shared" si="110"/>
        <v>971</v>
      </c>
      <c r="M650">
        <f t="shared" ca="1" si="111"/>
        <v>612</v>
      </c>
      <c r="N650">
        <f t="shared" ca="1" si="112"/>
        <v>292</v>
      </c>
      <c r="O650" s="2">
        <f t="shared" ca="1" si="113"/>
        <v>0.63027806385169927</v>
      </c>
    </row>
    <row r="651" spans="1:15" x14ac:dyDescent="0.3">
      <c r="A651" s="3" t="s">
        <v>856</v>
      </c>
      <c r="B651" t="str">
        <f t="shared" ref="B651:B714" ca="1" si="114">CHOOSE(RANDBETWEEN(1,10),
"Mr. Raj Kumar","Ms. Priya Sharma","Mr. Amit Das","Ms. Anjali Singh","Mr. Rohan Gupta",
"Ms. Neha Verma","Mr. Suresh Rao","Ms. Pooja Patel","Mr. Arun Kumar","Ms. Kajal Yadav")</f>
        <v>Ms. Pooja Patel</v>
      </c>
      <c r="C651">
        <f t="shared" ref="C651:C714" ca="1" si="115">RANDBETWEEN(21,65)</f>
        <v>51</v>
      </c>
      <c r="D651" t="str">
        <f t="shared" ref="D651:D714" ca="1" si="116">IF(LEFT(B451,3)="Mr.","Male","Female")</f>
        <v>Male</v>
      </c>
      <c r="E651">
        <f t="shared" ref="E651:E714" ca="1" si="117">RANDBETWEEN(200000,2000000)</f>
        <v>933340</v>
      </c>
      <c r="F651">
        <f t="shared" ref="F651:F714" ca="1" si="118">RANDBETWEEN(50000,2500000)</f>
        <v>2165238</v>
      </c>
      <c r="G651">
        <f t="shared" ref="G651:G714" ca="1" si="119">CHOOSE(RANDBETWEEN(1,7),12,24,36,48,60,72,84)</f>
        <v>60</v>
      </c>
      <c r="H651">
        <f t="shared" ref="H651:H714" ca="1" si="120">RANDBETWEEN(300,900)</f>
        <v>718</v>
      </c>
      <c r="I651" t="str">
        <f t="shared" ref="I651:I714" ca="1" si="121">CHOOSE(RANDBETWEEN(1,6),
"Salaried","Self-Employed","Business","Freelancer","Student","Contract-Based")</f>
        <v>Business</v>
      </c>
      <c r="J651" t="str">
        <f t="shared" ref="J651:J714" ca="1" si="122">CHOOSE(RANDBETWEEN(1,5),
"Home","Car","Education","Business","Personal")</f>
        <v>Personal</v>
      </c>
      <c r="K651" t="str">
        <f t="shared" ref="K651:K714" ca="1" si="123">IF(RANDBETWEEN(1,100)&lt;=70,"Approved","Rejected")</f>
        <v>Approved</v>
      </c>
      <c r="L651">
        <f t="shared" si="110"/>
        <v>971</v>
      </c>
      <c r="M651">
        <f t="shared" ca="1" si="111"/>
        <v>612</v>
      </c>
      <c r="N651">
        <f t="shared" ca="1" si="112"/>
        <v>292</v>
      </c>
      <c r="O651" s="2">
        <f t="shared" ca="1" si="113"/>
        <v>0.63027806385169927</v>
      </c>
    </row>
    <row r="652" spans="1:15" x14ac:dyDescent="0.3">
      <c r="A652" s="3" t="s">
        <v>857</v>
      </c>
      <c r="B652" t="str">
        <f t="shared" ca="1" si="114"/>
        <v>Mr. Amit Das</v>
      </c>
      <c r="C652">
        <f t="shared" ca="1" si="115"/>
        <v>37</v>
      </c>
      <c r="D652" t="str">
        <f t="shared" ca="1" si="116"/>
        <v>Female</v>
      </c>
      <c r="E652">
        <f t="shared" ca="1" si="117"/>
        <v>1141542</v>
      </c>
      <c r="F652">
        <f t="shared" ca="1" si="118"/>
        <v>1578638</v>
      </c>
      <c r="G652">
        <f t="shared" ca="1" si="119"/>
        <v>84</v>
      </c>
      <c r="H652">
        <f t="shared" ca="1" si="120"/>
        <v>518</v>
      </c>
      <c r="I652" t="str">
        <f t="shared" ca="1" si="121"/>
        <v>Salaried</v>
      </c>
      <c r="J652" t="str">
        <f t="shared" ca="1" si="122"/>
        <v>Home</v>
      </c>
      <c r="K652" t="str">
        <f t="shared" ca="1" si="123"/>
        <v>Rejected</v>
      </c>
      <c r="L652">
        <f t="shared" si="110"/>
        <v>971</v>
      </c>
      <c r="M652">
        <f t="shared" ca="1" si="111"/>
        <v>612</v>
      </c>
      <c r="N652">
        <f t="shared" ca="1" si="112"/>
        <v>292</v>
      </c>
      <c r="O652" s="2">
        <f t="shared" ca="1" si="113"/>
        <v>0.63027806385169927</v>
      </c>
    </row>
    <row r="653" spans="1:15" x14ac:dyDescent="0.3">
      <c r="A653" s="3" t="s">
        <v>858</v>
      </c>
      <c r="B653" t="str">
        <f t="shared" ca="1" si="114"/>
        <v>Ms. Kajal Yadav</v>
      </c>
      <c r="C653">
        <f t="shared" ca="1" si="115"/>
        <v>61</v>
      </c>
      <c r="D653" t="str">
        <f t="shared" ca="1" si="116"/>
        <v>Male</v>
      </c>
      <c r="E653">
        <f t="shared" ca="1" si="117"/>
        <v>818783</v>
      </c>
      <c r="F653">
        <f t="shared" ca="1" si="118"/>
        <v>271710</v>
      </c>
      <c r="G653">
        <f t="shared" ca="1" si="119"/>
        <v>60</v>
      </c>
      <c r="H653">
        <f t="shared" ca="1" si="120"/>
        <v>537</v>
      </c>
      <c r="I653" t="str">
        <f t="shared" ca="1" si="121"/>
        <v>Freelancer</v>
      </c>
      <c r="J653" t="str">
        <f t="shared" ca="1" si="122"/>
        <v>Home</v>
      </c>
      <c r="K653" t="str">
        <f t="shared" ca="1" si="123"/>
        <v>Approved</v>
      </c>
      <c r="L653">
        <f t="shared" si="110"/>
        <v>971</v>
      </c>
      <c r="M653">
        <f t="shared" ca="1" si="111"/>
        <v>612</v>
      </c>
      <c r="N653">
        <f t="shared" ca="1" si="112"/>
        <v>292</v>
      </c>
      <c r="O653" s="2">
        <f t="shared" ca="1" si="113"/>
        <v>0.63027806385169927</v>
      </c>
    </row>
    <row r="654" spans="1:15" x14ac:dyDescent="0.3">
      <c r="A654" s="3" t="s">
        <v>859</v>
      </c>
      <c r="B654" t="str">
        <f t="shared" ca="1" si="114"/>
        <v>Mr. Raj Kumar</v>
      </c>
      <c r="C654">
        <f t="shared" ca="1" si="115"/>
        <v>47</v>
      </c>
      <c r="D654" t="str">
        <f t="shared" ca="1" si="116"/>
        <v>Male</v>
      </c>
      <c r="E654">
        <f t="shared" ca="1" si="117"/>
        <v>801125</v>
      </c>
      <c r="F654">
        <f t="shared" ca="1" si="118"/>
        <v>805922</v>
      </c>
      <c r="G654">
        <f t="shared" ca="1" si="119"/>
        <v>60</v>
      </c>
      <c r="H654">
        <f t="shared" ca="1" si="120"/>
        <v>318</v>
      </c>
      <c r="I654" t="str">
        <f t="shared" ca="1" si="121"/>
        <v>Business</v>
      </c>
      <c r="J654" t="str">
        <f t="shared" ca="1" si="122"/>
        <v>Home</v>
      </c>
      <c r="K654" t="str">
        <f t="shared" ca="1" si="123"/>
        <v>Approved</v>
      </c>
      <c r="L654">
        <f t="shared" si="110"/>
        <v>971</v>
      </c>
      <c r="M654">
        <f t="shared" ca="1" si="111"/>
        <v>612</v>
      </c>
      <c r="N654">
        <f t="shared" ca="1" si="112"/>
        <v>292</v>
      </c>
      <c r="O654" s="2">
        <f t="shared" ca="1" si="113"/>
        <v>0.63027806385169927</v>
      </c>
    </row>
    <row r="655" spans="1:15" x14ac:dyDescent="0.3">
      <c r="A655" s="3" t="s">
        <v>860</v>
      </c>
      <c r="B655" t="str">
        <f t="shared" ca="1" si="114"/>
        <v>Mr. Raj Kumar</v>
      </c>
      <c r="C655">
        <f t="shared" ca="1" si="115"/>
        <v>43</v>
      </c>
      <c r="D655" t="str">
        <f t="shared" ca="1" si="116"/>
        <v>Male</v>
      </c>
      <c r="E655">
        <f t="shared" ca="1" si="117"/>
        <v>657941</v>
      </c>
      <c r="F655">
        <f t="shared" ca="1" si="118"/>
        <v>1889193</v>
      </c>
      <c r="G655">
        <f t="shared" ca="1" si="119"/>
        <v>48</v>
      </c>
      <c r="H655">
        <f t="shared" ca="1" si="120"/>
        <v>791</v>
      </c>
      <c r="I655" t="str">
        <f t="shared" ca="1" si="121"/>
        <v>Business</v>
      </c>
      <c r="J655" t="str">
        <f t="shared" ca="1" si="122"/>
        <v>Home</v>
      </c>
      <c r="K655" t="str">
        <f t="shared" ca="1" si="123"/>
        <v>Approved</v>
      </c>
      <c r="L655">
        <f t="shared" si="110"/>
        <v>971</v>
      </c>
      <c r="M655">
        <f t="shared" ca="1" si="111"/>
        <v>612</v>
      </c>
      <c r="N655">
        <f t="shared" ca="1" si="112"/>
        <v>292</v>
      </c>
      <c r="O655" s="2">
        <f t="shared" ca="1" si="113"/>
        <v>0.63027806385169927</v>
      </c>
    </row>
    <row r="656" spans="1:15" x14ac:dyDescent="0.3">
      <c r="A656" s="3" t="s">
        <v>861</v>
      </c>
      <c r="B656" t="str">
        <f t="shared" ca="1" si="114"/>
        <v>Mr. Arun Kumar</v>
      </c>
      <c r="C656">
        <f t="shared" ca="1" si="115"/>
        <v>35</v>
      </c>
      <c r="D656" t="str">
        <f t="shared" ca="1" si="116"/>
        <v>Female</v>
      </c>
      <c r="E656">
        <f t="shared" ca="1" si="117"/>
        <v>684422</v>
      </c>
      <c r="F656">
        <f t="shared" ca="1" si="118"/>
        <v>1475412</v>
      </c>
      <c r="G656">
        <f t="shared" ca="1" si="119"/>
        <v>84</v>
      </c>
      <c r="H656">
        <f t="shared" ca="1" si="120"/>
        <v>771</v>
      </c>
      <c r="I656" t="str">
        <f t="shared" ca="1" si="121"/>
        <v>Salaried</v>
      </c>
      <c r="J656" t="str">
        <f t="shared" ca="1" si="122"/>
        <v>Car</v>
      </c>
      <c r="K656" t="str">
        <f t="shared" ca="1" si="123"/>
        <v>Rejected</v>
      </c>
      <c r="L656">
        <f t="shared" si="110"/>
        <v>971</v>
      </c>
      <c r="M656">
        <f t="shared" ca="1" si="111"/>
        <v>612</v>
      </c>
      <c r="N656">
        <f t="shared" ca="1" si="112"/>
        <v>292</v>
      </c>
      <c r="O656" s="2">
        <f t="shared" ca="1" si="113"/>
        <v>0.63027806385169927</v>
      </c>
    </row>
    <row r="657" spans="1:15" x14ac:dyDescent="0.3">
      <c r="A657" s="3" t="s">
        <v>862</v>
      </c>
      <c r="B657" t="str">
        <f t="shared" ca="1" si="114"/>
        <v>Ms. Kajal Yadav</v>
      </c>
      <c r="C657">
        <f t="shared" ca="1" si="115"/>
        <v>61</v>
      </c>
      <c r="D657" t="str">
        <f t="shared" ca="1" si="116"/>
        <v>Female</v>
      </c>
      <c r="E657">
        <f t="shared" ca="1" si="117"/>
        <v>1442270</v>
      </c>
      <c r="F657">
        <f t="shared" ca="1" si="118"/>
        <v>2195329</v>
      </c>
      <c r="G657">
        <f t="shared" ca="1" si="119"/>
        <v>36</v>
      </c>
      <c r="H657">
        <f t="shared" ca="1" si="120"/>
        <v>547</v>
      </c>
      <c r="I657" t="str">
        <f t="shared" ca="1" si="121"/>
        <v>Contract-Based</v>
      </c>
      <c r="J657" t="str">
        <f t="shared" ca="1" si="122"/>
        <v>Car</v>
      </c>
      <c r="K657" t="str">
        <f t="shared" ca="1" si="123"/>
        <v>Approved</v>
      </c>
      <c r="L657">
        <f t="shared" si="110"/>
        <v>971</v>
      </c>
      <c r="M657">
        <f t="shared" ca="1" si="111"/>
        <v>612</v>
      </c>
      <c r="N657">
        <f t="shared" ca="1" si="112"/>
        <v>292</v>
      </c>
      <c r="O657" s="2">
        <f t="shared" ca="1" si="113"/>
        <v>0.63027806385169927</v>
      </c>
    </row>
    <row r="658" spans="1:15" x14ac:dyDescent="0.3">
      <c r="A658" s="3" t="s">
        <v>863</v>
      </c>
      <c r="B658" t="str">
        <f t="shared" ca="1" si="114"/>
        <v>Mr. Raj Kumar</v>
      </c>
      <c r="C658">
        <f t="shared" ca="1" si="115"/>
        <v>48</v>
      </c>
      <c r="D658" t="str">
        <f t="shared" ca="1" si="116"/>
        <v>Male</v>
      </c>
      <c r="E658">
        <f t="shared" ca="1" si="117"/>
        <v>1689823</v>
      </c>
      <c r="F658">
        <f t="shared" ca="1" si="118"/>
        <v>1861622</v>
      </c>
      <c r="G658">
        <f t="shared" ca="1" si="119"/>
        <v>84</v>
      </c>
      <c r="H658">
        <f t="shared" ca="1" si="120"/>
        <v>494</v>
      </c>
      <c r="I658" t="str">
        <f t="shared" ca="1" si="121"/>
        <v>Freelancer</v>
      </c>
      <c r="J658" t="str">
        <f t="shared" ca="1" si="122"/>
        <v>Personal</v>
      </c>
      <c r="K658" t="str">
        <f t="shared" ca="1" si="123"/>
        <v>Approved</v>
      </c>
      <c r="L658">
        <f t="shared" si="110"/>
        <v>971</v>
      </c>
      <c r="M658">
        <f t="shared" ca="1" si="111"/>
        <v>612</v>
      </c>
      <c r="N658">
        <f t="shared" ca="1" si="112"/>
        <v>292</v>
      </c>
      <c r="O658" s="2">
        <f t="shared" ca="1" si="113"/>
        <v>0.63027806385169927</v>
      </c>
    </row>
    <row r="659" spans="1:15" x14ac:dyDescent="0.3">
      <c r="A659" s="3" t="s">
        <v>864</v>
      </c>
      <c r="B659" t="str">
        <f t="shared" ca="1" si="114"/>
        <v>Ms. Anjali Singh</v>
      </c>
      <c r="C659">
        <f t="shared" ca="1" si="115"/>
        <v>60</v>
      </c>
      <c r="D659" t="str">
        <f t="shared" ca="1" si="116"/>
        <v>Female</v>
      </c>
      <c r="E659">
        <f t="shared" ca="1" si="117"/>
        <v>1941469</v>
      </c>
      <c r="F659">
        <f t="shared" ca="1" si="118"/>
        <v>109740</v>
      </c>
      <c r="G659">
        <f t="shared" ca="1" si="119"/>
        <v>60</v>
      </c>
      <c r="H659">
        <f t="shared" ca="1" si="120"/>
        <v>485</v>
      </c>
      <c r="I659" t="str">
        <f t="shared" ca="1" si="121"/>
        <v>Freelancer</v>
      </c>
      <c r="J659" t="str">
        <f t="shared" ca="1" si="122"/>
        <v>Personal</v>
      </c>
      <c r="K659" t="str">
        <f t="shared" ca="1" si="123"/>
        <v>Rejected</v>
      </c>
      <c r="L659">
        <f t="shared" si="110"/>
        <v>971</v>
      </c>
      <c r="M659">
        <f t="shared" ca="1" si="111"/>
        <v>612</v>
      </c>
      <c r="N659">
        <f t="shared" ca="1" si="112"/>
        <v>292</v>
      </c>
      <c r="O659" s="2">
        <f t="shared" ca="1" si="113"/>
        <v>0.63027806385169927</v>
      </c>
    </row>
    <row r="660" spans="1:15" x14ac:dyDescent="0.3">
      <c r="A660" s="3" t="s">
        <v>865</v>
      </c>
      <c r="B660" t="str">
        <f t="shared" ca="1" si="114"/>
        <v>Ms. Kajal Yadav</v>
      </c>
      <c r="C660">
        <f t="shared" ca="1" si="115"/>
        <v>62</v>
      </c>
      <c r="D660" t="str">
        <f t="shared" ca="1" si="116"/>
        <v>Male</v>
      </c>
      <c r="E660">
        <f t="shared" ca="1" si="117"/>
        <v>235219</v>
      </c>
      <c r="F660">
        <f t="shared" ca="1" si="118"/>
        <v>1323559</v>
      </c>
      <c r="G660">
        <f t="shared" ca="1" si="119"/>
        <v>12</v>
      </c>
      <c r="H660">
        <f t="shared" ca="1" si="120"/>
        <v>692</v>
      </c>
      <c r="I660" t="str">
        <f t="shared" ca="1" si="121"/>
        <v>Salaried</v>
      </c>
      <c r="J660" t="str">
        <f t="shared" ca="1" si="122"/>
        <v>Personal</v>
      </c>
      <c r="K660" t="str">
        <f t="shared" ca="1" si="123"/>
        <v>Approved</v>
      </c>
      <c r="L660">
        <f t="shared" si="110"/>
        <v>971</v>
      </c>
      <c r="M660">
        <f t="shared" ca="1" si="111"/>
        <v>612</v>
      </c>
      <c r="N660">
        <f t="shared" ca="1" si="112"/>
        <v>292</v>
      </c>
      <c r="O660" s="2">
        <f t="shared" ca="1" si="113"/>
        <v>0.63027806385169927</v>
      </c>
    </row>
    <row r="661" spans="1:15" x14ac:dyDescent="0.3">
      <c r="A661" s="3" t="s">
        <v>866</v>
      </c>
      <c r="B661" t="str">
        <f t="shared" ca="1" si="114"/>
        <v>Ms. Kajal Yadav</v>
      </c>
      <c r="C661">
        <f t="shared" ca="1" si="115"/>
        <v>23</v>
      </c>
      <c r="D661" t="str">
        <f t="shared" ca="1" si="116"/>
        <v>Male</v>
      </c>
      <c r="E661">
        <f t="shared" ca="1" si="117"/>
        <v>390650</v>
      </c>
      <c r="F661">
        <f t="shared" ca="1" si="118"/>
        <v>2207943</v>
      </c>
      <c r="G661">
        <f t="shared" ca="1" si="119"/>
        <v>48</v>
      </c>
      <c r="H661">
        <f t="shared" ca="1" si="120"/>
        <v>330</v>
      </c>
      <c r="I661" t="str">
        <f t="shared" ca="1" si="121"/>
        <v>Contract-Based</v>
      </c>
      <c r="J661" t="str">
        <f t="shared" ca="1" si="122"/>
        <v>Home</v>
      </c>
      <c r="K661" t="str">
        <f t="shared" ca="1" si="123"/>
        <v>Approved</v>
      </c>
      <c r="L661">
        <f t="shared" si="110"/>
        <v>971</v>
      </c>
      <c r="M661">
        <f t="shared" ca="1" si="111"/>
        <v>612</v>
      </c>
      <c r="N661">
        <f t="shared" ca="1" si="112"/>
        <v>292</v>
      </c>
      <c r="O661" s="2">
        <f t="shared" ca="1" si="113"/>
        <v>0.63027806385169927</v>
      </c>
    </row>
    <row r="662" spans="1:15" x14ac:dyDescent="0.3">
      <c r="A662" s="3" t="s">
        <v>867</v>
      </c>
      <c r="B662" t="str">
        <f t="shared" ca="1" si="114"/>
        <v>Mr. Amit Das</v>
      </c>
      <c r="C662">
        <f t="shared" ca="1" si="115"/>
        <v>53</v>
      </c>
      <c r="D662" t="str">
        <f t="shared" ca="1" si="116"/>
        <v>Male</v>
      </c>
      <c r="E662">
        <f t="shared" ca="1" si="117"/>
        <v>454762</v>
      </c>
      <c r="F662">
        <f t="shared" ca="1" si="118"/>
        <v>724827</v>
      </c>
      <c r="G662">
        <f t="shared" ca="1" si="119"/>
        <v>36</v>
      </c>
      <c r="H662">
        <f t="shared" ca="1" si="120"/>
        <v>565</v>
      </c>
      <c r="I662" t="str">
        <f t="shared" ca="1" si="121"/>
        <v>Self-Employed</v>
      </c>
      <c r="J662" t="str">
        <f t="shared" ca="1" si="122"/>
        <v>Education</v>
      </c>
      <c r="K662" t="str">
        <f t="shared" ca="1" si="123"/>
        <v>Rejected</v>
      </c>
      <c r="L662">
        <f t="shared" si="110"/>
        <v>971</v>
      </c>
      <c r="M662">
        <f t="shared" ca="1" si="111"/>
        <v>612</v>
      </c>
      <c r="N662">
        <f t="shared" ca="1" si="112"/>
        <v>292</v>
      </c>
      <c r="O662" s="2">
        <f t="shared" ca="1" si="113"/>
        <v>0.63027806385169927</v>
      </c>
    </row>
    <row r="663" spans="1:15" x14ac:dyDescent="0.3">
      <c r="A663" s="3" t="s">
        <v>868</v>
      </c>
      <c r="B663" t="str">
        <f t="shared" ca="1" si="114"/>
        <v>Mr. Arun Kumar</v>
      </c>
      <c r="C663">
        <f t="shared" ca="1" si="115"/>
        <v>65</v>
      </c>
      <c r="D663" t="str">
        <f t="shared" ca="1" si="116"/>
        <v>Male</v>
      </c>
      <c r="E663">
        <f t="shared" ca="1" si="117"/>
        <v>607886</v>
      </c>
      <c r="F663">
        <f t="shared" ca="1" si="118"/>
        <v>398491</v>
      </c>
      <c r="G663">
        <f t="shared" ca="1" si="119"/>
        <v>84</v>
      </c>
      <c r="H663">
        <f t="shared" ca="1" si="120"/>
        <v>365</v>
      </c>
      <c r="I663" t="str">
        <f t="shared" ca="1" si="121"/>
        <v>Self-Employed</v>
      </c>
      <c r="J663" t="str">
        <f t="shared" ca="1" si="122"/>
        <v>Business</v>
      </c>
      <c r="K663" t="str">
        <f t="shared" ca="1" si="123"/>
        <v>Rejected</v>
      </c>
      <c r="L663">
        <f t="shared" si="110"/>
        <v>971</v>
      </c>
      <c r="M663">
        <f t="shared" ca="1" si="111"/>
        <v>612</v>
      </c>
      <c r="N663">
        <f t="shared" ca="1" si="112"/>
        <v>292</v>
      </c>
      <c r="O663" s="2">
        <f t="shared" ca="1" si="113"/>
        <v>0.63027806385169927</v>
      </c>
    </row>
    <row r="664" spans="1:15" x14ac:dyDescent="0.3">
      <c r="A664" s="3" t="s">
        <v>869</v>
      </c>
      <c r="B664" t="str">
        <f t="shared" ca="1" si="114"/>
        <v>Mr. Raj Kumar</v>
      </c>
      <c r="C664">
        <f t="shared" ca="1" si="115"/>
        <v>63</v>
      </c>
      <c r="D664" t="str">
        <f t="shared" ca="1" si="116"/>
        <v>Female</v>
      </c>
      <c r="E664">
        <f t="shared" ca="1" si="117"/>
        <v>1047937</v>
      </c>
      <c r="F664">
        <f t="shared" ca="1" si="118"/>
        <v>1006389</v>
      </c>
      <c r="G664">
        <f t="shared" ca="1" si="119"/>
        <v>84</v>
      </c>
      <c r="H664">
        <f t="shared" ca="1" si="120"/>
        <v>457</v>
      </c>
      <c r="I664" t="str">
        <f t="shared" ca="1" si="121"/>
        <v>Student</v>
      </c>
      <c r="J664" t="str">
        <f t="shared" ca="1" si="122"/>
        <v>Personal</v>
      </c>
      <c r="K664" t="str">
        <f t="shared" ca="1" si="123"/>
        <v>Rejected</v>
      </c>
      <c r="L664">
        <f t="shared" si="110"/>
        <v>971</v>
      </c>
      <c r="M664">
        <f t="shared" ca="1" si="111"/>
        <v>612</v>
      </c>
      <c r="N664">
        <f t="shared" ca="1" si="112"/>
        <v>292</v>
      </c>
      <c r="O664" s="2">
        <f t="shared" ca="1" si="113"/>
        <v>0.63027806385169927</v>
      </c>
    </row>
    <row r="665" spans="1:15" x14ac:dyDescent="0.3">
      <c r="A665" s="3" t="s">
        <v>870</v>
      </c>
      <c r="B665" t="str">
        <f t="shared" ca="1" si="114"/>
        <v>Mr. Arun Kumar</v>
      </c>
      <c r="C665">
        <f t="shared" ca="1" si="115"/>
        <v>46</v>
      </c>
      <c r="D665" t="str">
        <f t="shared" ca="1" si="116"/>
        <v>Female</v>
      </c>
      <c r="E665">
        <f t="shared" ca="1" si="117"/>
        <v>1723964</v>
      </c>
      <c r="F665">
        <f t="shared" ca="1" si="118"/>
        <v>748595</v>
      </c>
      <c r="G665">
        <f t="shared" ca="1" si="119"/>
        <v>72</v>
      </c>
      <c r="H665">
        <f t="shared" ca="1" si="120"/>
        <v>556</v>
      </c>
      <c r="I665" t="str">
        <f t="shared" ca="1" si="121"/>
        <v>Student</v>
      </c>
      <c r="J665" t="str">
        <f t="shared" ca="1" si="122"/>
        <v>Education</v>
      </c>
      <c r="K665" t="str">
        <f t="shared" ca="1" si="123"/>
        <v>Rejected</v>
      </c>
      <c r="L665">
        <f t="shared" si="110"/>
        <v>971</v>
      </c>
      <c r="M665">
        <f t="shared" ca="1" si="111"/>
        <v>612</v>
      </c>
      <c r="N665">
        <f t="shared" ca="1" si="112"/>
        <v>292</v>
      </c>
      <c r="O665" s="2">
        <f t="shared" ca="1" si="113"/>
        <v>0.63027806385169927</v>
      </c>
    </row>
    <row r="666" spans="1:15" x14ac:dyDescent="0.3">
      <c r="A666" s="3" t="s">
        <v>871</v>
      </c>
      <c r="B666" t="str">
        <f t="shared" ca="1" si="114"/>
        <v>Ms. Pooja Patel</v>
      </c>
      <c r="C666">
        <f t="shared" ca="1" si="115"/>
        <v>37</v>
      </c>
      <c r="D666" t="str">
        <f t="shared" ca="1" si="116"/>
        <v>Female</v>
      </c>
      <c r="E666">
        <f t="shared" ca="1" si="117"/>
        <v>1589095</v>
      </c>
      <c r="F666">
        <f t="shared" ca="1" si="118"/>
        <v>1962023</v>
      </c>
      <c r="G666">
        <f t="shared" ca="1" si="119"/>
        <v>72</v>
      </c>
      <c r="H666">
        <f t="shared" ca="1" si="120"/>
        <v>884</v>
      </c>
      <c r="I666" t="str">
        <f t="shared" ca="1" si="121"/>
        <v>Student</v>
      </c>
      <c r="J666" t="str">
        <f t="shared" ca="1" si="122"/>
        <v>Business</v>
      </c>
      <c r="K666" t="str">
        <f t="shared" ca="1" si="123"/>
        <v>Approved</v>
      </c>
      <c r="L666">
        <f t="shared" si="110"/>
        <v>971</v>
      </c>
      <c r="M666">
        <f t="shared" ca="1" si="111"/>
        <v>612</v>
      </c>
      <c r="N666">
        <f t="shared" ca="1" si="112"/>
        <v>292</v>
      </c>
      <c r="O666" s="2">
        <f t="shared" ca="1" si="113"/>
        <v>0.63027806385169927</v>
      </c>
    </row>
    <row r="667" spans="1:15" x14ac:dyDescent="0.3">
      <c r="A667" s="3" t="s">
        <v>872</v>
      </c>
      <c r="B667" t="str">
        <f t="shared" ca="1" si="114"/>
        <v>Ms. Pooja Patel</v>
      </c>
      <c r="C667">
        <f t="shared" ca="1" si="115"/>
        <v>24</v>
      </c>
      <c r="D667" t="str">
        <f t="shared" ca="1" si="116"/>
        <v>Female</v>
      </c>
      <c r="E667">
        <f t="shared" ca="1" si="117"/>
        <v>934783</v>
      </c>
      <c r="F667">
        <f t="shared" ca="1" si="118"/>
        <v>2497144</v>
      </c>
      <c r="G667">
        <f t="shared" ca="1" si="119"/>
        <v>84</v>
      </c>
      <c r="H667">
        <f t="shared" ca="1" si="120"/>
        <v>790</v>
      </c>
      <c r="I667" t="str">
        <f t="shared" ca="1" si="121"/>
        <v>Self-Employed</v>
      </c>
      <c r="J667" t="str">
        <f t="shared" ca="1" si="122"/>
        <v>Home</v>
      </c>
      <c r="K667" t="str">
        <f t="shared" ca="1" si="123"/>
        <v>Approved</v>
      </c>
      <c r="L667">
        <f t="shared" si="110"/>
        <v>971</v>
      </c>
      <c r="M667">
        <f t="shared" ca="1" si="111"/>
        <v>612</v>
      </c>
      <c r="N667">
        <f t="shared" ca="1" si="112"/>
        <v>292</v>
      </c>
      <c r="O667" s="2">
        <f t="shared" ca="1" si="113"/>
        <v>0.63027806385169927</v>
      </c>
    </row>
    <row r="668" spans="1:15" x14ac:dyDescent="0.3">
      <c r="A668" s="3" t="s">
        <v>873</v>
      </c>
      <c r="B668" t="str">
        <f t="shared" ca="1" si="114"/>
        <v>Ms. Neha Verma</v>
      </c>
      <c r="C668">
        <f t="shared" ca="1" si="115"/>
        <v>64</v>
      </c>
      <c r="D668" t="str">
        <f t="shared" ca="1" si="116"/>
        <v>Female</v>
      </c>
      <c r="E668">
        <f t="shared" ca="1" si="117"/>
        <v>767217</v>
      </c>
      <c r="F668">
        <f t="shared" ca="1" si="118"/>
        <v>2491956</v>
      </c>
      <c r="G668">
        <f t="shared" ca="1" si="119"/>
        <v>72</v>
      </c>
      <c r="H668">
        <f t="shared" ca="1" si="120"/>
        <v>703</v>
      </c>
      <c r="I668" t="str">
        <f t="shared" ca="1" si="121"/>
        <v>Salaried</v>
      </c>
      <c r="J668" t="str">
        <f t="shared" ca="1" si="122"/>
        <v>Car</v>
      </c>
      <c r="K668" t="str">
        <f t="shared" ca="1" si="123"/>
        <v>Approved</v>
      </c>
      <c r="L668">
        <f t="shared" si="110"/>
        <v>971</v>
      </c>
      <c r="M668">
        <f t="shared" ca="1" si="111"/>
        <v>612</v>
      </c>
      <c r="N668">
        <f t="shared" ca="1" si="112"/>
        <v>292</v>
      </c>
      <c r="O668" s="2">
        <f t="shared" ca="1" si="113"/>
        <v>0.63027806385169927</v>
      </c>
    </row>
    <row r="669" spans="1:15" x14ac:dyDescent="0.3">
      <c r="A669" s="3" t="s">
        <v>874</v>
      </c>
      <c r="B669" t="str">
        <f t="shared" ca="1" si="114"/>
        <v>Mr. Raj Kumar</v>
      </c>
      <c r="C669">
        <f t="shared" ca="1" si="115"/>
        <v>64</v>
      </c>
      <c r="D669" t="str">
        <f t="shared" ca="1" si="116"/>
        <v>Female</v>
      </c>
      <c r="E669">
        <f t="shared" ca="1" si="117"/>
        <v>793703</v>
      </c>
      <c r="F669">
        <f t="shared" ca="1" si="118"/>
        <v>269048</v>
      </c>
      <c r="G669">
        <f t="shared" ca="1" si="119"/>
        <v>60</v>
      </c>
      <c r="H669">
        <f t="shared" ca="1" si="120"/>
        <v>860</v>
      </c>
      <c r="I669" t="str">
        <f t="shared" ca="1" si="121"/>
        <v>Contract-Based</v>
      </c>
      <c r="J669" t="str">
        <f t="shared" ca="1" si="122"/>
        <v>Business</v>
      </c>
      <c r="K669" t="str">
        <f t="shared" ca="1" si="123"/>
        <v>Rejected</v>
      </c>
      <c r="L669">
        <f t="shared" si="110"/>
        <v>971</v>
      </c>
      <c r="M669">
        <f t="shared" ca="1" si="111"/>
        <v>612</v>
      </c>
      <c r="N669">
        <f t="shared" ca="1" si="112"/>
        <v>292</v>
      </c>
      <c r="O669" s="2">
        <f t="shared" ca="1" si="113"/>
        <v>0.63027806385169927</v>
      </c>
    </row>
    <row r="670" spans="1:15" x14ac:dyDescent="0.3">
      <c r="A670" s="3" t="s">
        <v>875</v>
      </c>
      <c r="B670" t="str">
        <f t="shared" ca="1" si="114"/>
        <v>Ms. Priya Sharma</v>
      </c>
      <c r="C670">
        <f t="shared" ca="1" si="115"/>
        <v>51</v>
      </c>
      <c r="D670" t="str">
        <f t="shared" ca="1" si="116"/>
        <v>Female</v>
      </c>
      <c r="E670">
        <f t="shared" ca="1" si="117"/>
        <v>1073893</v>
      </c>
      <c r="F670">
        <f t="shared" ca="1" si="118"/>
        <v>316781</v>
      </c>
      <c r="G670">
        <f t="shared" ca="1" si="119"/>
        <v>48</v>
      </c>
      <c r="H670">
        <f t="shared" ca="1" si="120"/>
        <v>643</v>
      </c>
      <c r="I670" t="str">
        <f t="shared" ca="1" si="121"/>
        <v>Salaried</v>
      </c>
      <c r="J670" t="str">
        <f t="shared" ca="1" si="122"/>
        <v>Car</v>
      </c>
      <c r="K670" t="str">
        <f t="shared" ca="1" si="123"/>
        <v>Rejected</v>
      </c>
      <c r="L670">
        <f t="shared" si="110"/>
        <v>971</v>
      </c>
      <c r="M670">
        <f t="shared" ca="1" si="111"/>
        <v>612</v>
      </c>
      <c r="N670">
        <f t="shared" ca="1" si="112"/>
        <v>292</v>
      </c>
      <c r="O670" s="2">
        <f t="shared" ca="1" si="113"/>
        <v>0.63027806385169927</v>
      </c>
    </row>
    <row r="671" spans="1:15" x14ac:dyDescent="0.3">
      <c r="A671" s="3" t="s">
        <v>876</v>
      </c>
      <c r="B671" t="str">
        <f t="shared" ca="1" si="114"/>
        <v>Ms. Kajal Yadav</v>
      </c>
      <c r="C671">
        <f t="shared" ca="1" si="115"/>
        <v>57</v>
      </c>
      <c r="D671" t="str">
        <f t="shared" ca="1" si="116"/>
        <v>Female</v>
      </c>
      <c r="E671">
        <f t="shared" ca="1" si="117"/>
        <v>1582438</v>
      </c>
      <c r="F671">
        <f t="shared" ca="1" si="118"/>
        <v>393423</v>
      </c>
      <c r="G671">
        <f t="shared" ca="1" si="119"/>
        <v>24</v>
      </c>
      <c r="H671">
        <f t="shared" ca="1" si="120"/>
        <v>747</v>
      </c>
      <c r="I671" t="str">
        <f t="shared" ca="1" si="121"/>
        <v>Business</v>
      </c>
      <c r="J671" t="str">
        <f t="shared" ca="1" si="122"/>
        <v>Personal</v>
      </c>
      <c r="K671" t="str">
        <f t="shared" ca="1" si="123"/>
        <v>Rejected</v>
      </c>
      <c r="L671">
        <f t="shared" si="110"/>
        <v>971</v>
      </c>
      <c r="M671">
        <f t="shared" ca="1" si="111"/>
        <v>612</v>
      </c>
      <c r="N671">
        <f t="shared" ca="1" si="112"/>
        <v>292</v>
      </c>
      <c r="O671" s="2">
        <f t="shared" ca="1" si="113"/>
        <v>0.63027806385169927</v>
      </c>
    </row>
    <row r="672" spans="1:15" x14ac:dyDescent="0.3">
      <c r="A672" s="3" t="s">
        <v>877</v>
      </c>
      <c r="B672" t="str">
        <f t="shared" ca="1" si="114"/>
        <v>Ms. Pooja Patel</v>
      </c>
      <c r="C672">
        <f t="shared" ca="1" si="115"/>
        <v>45</v>
      </c>
      <c r="D672" t="str">
        <f t="shared" ca="1" si="116"/>
        <v>Male</v>
      </c>
      <c r="E672">
        <f t="shared" ca="1" si="117"/>
        <v>791155</v>
      </c>
      <c r="F672">
        <f t="shared" ca="1" si="118"/>
        <v>736502</v>
      </c>
      <c r="G672">
        <f t="shared" ca="1" si="119"/>
        <v>48</v>
      </c>
      <c r="H672">
        <f t="shared" ca="1" si="120"/>
        <v>816</v>
      </c>
      <c r="I672" t="str">
        <f t="shared" ca="1" si="121"/>
        <v>Freelancer</v>
      </c>
      <c r="J672" t="str">
        <f t="shared" ca="1" si="122"/>
        <v>Home</v>
      </c>
      <c r="K672" t="str">
        <f t="shared" ca="1" si="123"/>
        <v>Approved</v>
      </c>
      <c r="L672">
        <f t="shared" si="110"/>
        <v>971</v>
      </c>
      <c r="M672">
        <f t="shared" ca="1" si="111"/>
        <v>612</v>
      </c>
      <c r="N672">
        <f t="shared" ca="1" si="112"/>
        <v>292</v>
      </c>
      <c r="O672" s="2">
        <f t="shared" ca="1" si="113"/>
        <v>0.63027806385169927</v>
      </c>
    </row>
    <row r="673" spans="1:15" x14ac:dyDescent="0.3">
      <c r="A673" s="3" t="s">
        <v>878</v>
      </c>
      <c r="B673" t="str">
        <f t="shared" ca="1" si="114"/>
        <v>Ms. Anjali Singh</v>
      </c>
      <c r="C673">
        <f t="shared" ca="1" si="115"/>
        <v>49</v>
      </c>
      <c r="D673" t="str">
        <f t="shared" ca="1" si="116"/>
        <v>Male</v>
      </c>
      <c r="E673">
        <f t="shared" ca="1" si="117"/>
        <v>967154</v>
      </c>
      <c r="F673">
        <f t="shared" ca="1" si="118"/>
        <v>2489899</v>
      </c>
      <c r="G673">
        <f t="shared" ca="1" si="119"/>
        <v>36</v>
      </c>
      <c r="H673">
        <f t="shared" ca="1" si="120"/>
        <v>471</v>
      </c>
      <c r="I673" t="str">
        <f t="shared" ca="1" si="121"/>
        <v>Salaried</v>
      </c>
      <c r="J673" t="str">
        <f t="shared" ca="1" si="122"/>
        <v>Personal</v>
      </c>
      <c r="K673" t="str">
        <f t="shared" ca="1" si="123"/>
        <v>Approved</v>
      </c>
      <c r="L673">
        <f t="shared" si="110"/>
        <v>971</v>
      </c>
      <c r="M673">
        <f t="shared" ca="1" si="111"/>
        <v>612</v>
      </c>
      <c r="N673">
        <f t="shared" ca="1" si="112"/>
        <v>292</v>
      </c>
      <c r="O673" s="2">
        <f t="shared" ca="1" si="113"/>
        <v>0.63027806385169927</v>
      </c>
    </row>
    <row r="674" spans="1:15" x14ac:dyDescent="0.3">
      <c r="A674" s="3" t="s">
        <v>879</v>
      </c>
      <c r="B674" t="str">
        <f t="shared" ca="1" si="114"/>
        <v>Ms. Anjali Singh</v>
      </c>
      <c r="C674">
        <f t="shared" ca="1" si="115"/>
        <v>27</v>
      </c>
      <c r="D674" t="str">
        <f t="shared" ca="1" si="116"/>
        <v>Female</v>
      </c>
      <c r="E674">
        <f t="shared" ca="1" si="117"/>
        <v>235668</v>
      </c>
      <c r="F674">
        <f t="shared" ca="1" si="118"/>
        <v>1621119</v>
      </c>
      <c r="G674">
        <f t="shared" ca="1" si="119"/>
        <v>72</v>
      </c>
      <c r="H674">
        <f t="shared" ca="1" si="120"/>
        <v>313</v>
      </c>
      <c r="I674" t="str">
        <f t="shared" ca="1" si="121"/>
        <v>Contract-Based</v>
      </c>
      <c r="J674" t="str">
        <f t="shared" ca="1" si="122"/>
        <v>Home</v>
      </c>
      <c r="K674" t="str">
        <f t="shared" ca="1" si="123"/>
        <v>Approved</v>
      </c>
      <c r="L674">
        <f t="shared" si="110"/>
        <v>971</v>
      </c>
      <c r="M674">
        <f t="shared" ca="1" si="111"/>
        <v>612</v>
      </c>
      <c r="N674">
        <f t="shared" ca="1" si="112"/>
        <v>292</v>
      </c>
      <c r="O674" s="2">
        <f t="shared" ca="1" si="113"/>
        <v>0.63027806385169927</v>
      </c>
    </row>
    <row r="675" spans="1:15" x14ac:dyDescent="0.3">
      <c r="A675" s="3" t="s">
        <v>880</v>
      </c>
      <c r="B675" t="str">
        <f t="shared" ca="1" si="114"/>
        <v>Ms. Anjali Singh</v>
      </c>
      <c r="C675">
        <f t="shared" ca="1" si="115"/>
        <v>55</v>
      </c>
      <c r="D675" t="str">
        <f t="shared" ca="1" si="116"/>
        <v>Male</v>
      </c>
      <c r="E675">
        <f t="shared" ca="1" si="117"/>
        <v>311359</v>
      </c>
      <c r="F675">
        <f t="shared" ca="1" si="118"/>
        <v>1518921</v>
      </c>
      <c r="G675">
        <f t="shared" ca="1" si="119"/>
        <v>60</v>
      </c>
      <c r="H675">
        <f t="shared" ca="1" si="120"/>
        <v>630</v>
      </c>
      <c r="I675" t="str">
        <f t="shared" ca="1" si="121"/>
        <v>Freelancer</v>
      </c>
      <c r="J675" t="str">
        <f t="shared" ca="1" si="122"/>
        <v>Car</v>
      </c>
      <c r="K675" t="str">
        <f t="shared" ca="1" si="123"/>
        <v>Approved</v>
      </c>
      <c r="L675">
        <f t="shared" si="110"/>
        <v>971</v>
      </c>
      <c r="M675">
        <f t="shared" ca="1" si="111"/>
        <v>612</v>
      </c>
      <c r="N675">
        <f t="shared" ca="1" si="112"/>
        <v>292</v>
      </c>
      <c r="O675" s="2">
        <f t="shared" ca="1" si="113"/>
        <v>0.63027806385169927</v>
      </c>
    </row>
    <row r="676" spans="1:15" x14ac:dyDescent="0.3">
      <c r="A676" s="3" t="s">
        <v>881</v>
      </c>
      <c r="B676" t="str">
        <f t="shared" ca="1" si="114"/>
        <v>Mr. Suresh Rao</v>
      </c>
      <c r="C676">
        <f t="shared" ca="1" si="115"/>
        <v>60</v>
      </c>
      <c r="D676" t="str">
        <f t="shared" ca="1" si="116"/>
        <v>Female</v>
      </c>
      <c r="E676">
        <f t="shared" ca="1" si="117"/>
        <v>1549705</v>
      </c>
      <c r="F676">
        <f t="shared" ca="1" si="118"/>
        <v>1748755</v>
      </c>
      <c r="G676">
        <f t="shared" ca="1" si="119"/>
        <v>24</v>
      </c>
      <c r="H676">
        <f t="shared" ca="1" si="120"/>
        <v>718</v>
      </c>
      <c r="I676" t="str">
        <f t="shared" ca="1" si="121"/>
        <v>Self-Employed</v>
      </c>
      <c r="J676" t="str">
        <f t="shared" ca="1" si="122"/>
        <v>Education</v>
      </c>
      <c r="K676" t="str">
        <f t="shared" ca="1" si="123"/>
        <v>Approved</v>
      </c>
      <c r="L676">
        <f t="shared" si="110"/>
        <v>971</v>
      </c>
      <c r="M676">
        <f t="shared" ca="1" si="111"/>
        <v>612</v>
      </c>
      <c r="N676">
        <f t="shared" ca="1" si="112"/>
        <v>292</v>
      </c>
      <c r="O676" s="2">
        <f t="shared" ca="1" si="113"/>
        <v>0.63027806385169927</v>
      </c>
    </row>
    <row r="677" spans="1:15" x14ac:dyDescent="0.3">
      <c r="A677" s="3" t="s">
        <v>882</v>
      </c>
      <c r="B677" t="str">
        <f t="shared" ca="1" si="114"/>
        <v>Mr. Rohan Gupta</v>
      </c>
      <c r="C677">
        <f t="shared" ca="1" si="115"/>
        <v>32</v>
      </c>
      <c r="D677" t="str">
        <f t="shared" ca="1" si="116"/>
        <v>Male</v>
      </c>
      <c r="E677">
        <f t="shared" ca="1" si="117"/>
        <v>1293022</v>
      </c>
      <c r="F677">
        <f t="shared" ca="1" si="118"/>
        <v>278330</v>
      </c>
      <c r="G677">
        <f t="shared" ca="1" si="119"/>
        <v>36</v>
      </c>
      <c r="H677">
        <f t="shared" ca="1" si="120"/>
        <v>819</v>
      </c>
      <c r="I677" t="str">
        <f t="shared" ca="1" si="121"/>
        <v>Freelancer</v>
      </c>
      <c r="J677" t="str">
        <f t="shared" ca="1" si="122"/>
        <v>Home</v>
      </c>
      <c r="K677" t="str">
        <f t="shared" ca="1" si="123"/>
        <v>Rejected</v>
      </c>
      <c r="L677">
        <f t="shared" si="110"/>
        <v>971</v>
      </c>
      <c r="M677">
        <f t="shared" ca="1" si="111"/>
        <v>612</v>
      </c>
      <c r="N677">
        <f t="shared" ca="1" si="112"/>
        <v>292</v>
      </c>
      <c r="O677" s="2">
        <f t="shared" ca="1" si="113"/>
        <v>0.63027806385169927</v>
      </c>
    </row>
    <row r="678" spans="1:15" x14ac:dyDescent="0.3">
      <c r="A678" s="3" t="s">
        <v>883</v>
      </c>
      <c r="B678" t="str">
        <f t="shared" ca="1" si="114"/>
        <v>Ms. Anjali Singh</v>
      </c>
      <c r="C678">
        <f t="shared" ca="1" si="115"/>
        <v>63</v>
      </c>
      <c r="D678" t="str">
        <f t="shared" ca="1" si="116"/>
        <v>Male</v>
      </c>
      <c r="E678">
        <f t="shared" ca="1" si="117"/>
        <v>1994981</v>
      </c>
      <c r="F678">
        <f t="shared" ca="1" si="118"/>
        <v>2349058</v>
      </c>
      <c r="G678">
        <f t="shared" ca="1" si="119"/>
        <v>72</v>
      </c>
      <c r="H678">
        <f t="shared" ca="1" si="120"/>
        <v>769</v>
      </c>
      <c r="I678" t="str">
        <f t="shared" ca="1" si="121"/>
        <v>Contract-Based</v>
      </c>
      <c r="J678" t="str">
        <f t="shared" ca="1" si="122"/>
        <v>Home</v>
      </c>
      <c r="K678" t="str">
        <f t="shared" ca="1" si="123"/>
        <v>Approved</v>
      </c>
      <c r="L678">
        <f t="shared" si="110"/>
        <v>971</v>
      </c>
      <c r="M678">
        <f t="shared" ca="1" si="111"/>
        <v>612</v>
      </c>
      <c r="N678">
        <f t="shared" ca="1" si="112"/>
        <v>292</v>
      </c>
      <c r="O678" s="2">
        <f t="shared" ca="1" si="113"/>
        <v>0.63027806385169927</v>
      </c>
    </row>
    <row r="679" spans="1:15" x14ac:dyDescent="0.3">
      <c r="A679" s="3" t="s">
        <v>884</v>
      </c>
      <c r="B679" t="str">
        <f t="shared" ca="1" si="114"/>
        <v>Ms. Priya Sharma</v>
      </c>
      <c r="C679">
        <f t="shared" ca="1" si="115"/>
        <v>56</v>
      </c>
      <c r="D679" t="str">
        <f t="shared" ca="1" si="116"/>
        <v>Female</v>
      </c>
      <c r="E679">
        <f t="shared" ca="1" si="117"/>
        <v>584975</v>
      </c>
      <c r="F679">
        <f t="shared" ca="1" si="118"/>
        <v>496181</v>
      </c>
      <c r="G679">
        <f t="shared" ca="1" si="119"/>
        <v>48</v>
      </c>
      <c r="H679">
        <f t="shared" ca="1" si="120"/>
        <v>490</v>
      </c>
      <c r="I679" t="str">
        <f t="shared" ca="1" si="121"/>
        <v>Self-Employed</v>
      </c>
      <c r="J679" t="str">
        <f t="shared" ca="1" si="122"/>
        <v>Business</v>
      </c>
      <c r="K679" t="str">
        <f t="shared" ca="1" si="123"/>
        <v>Approved</v>
      </c>
      <c r="L679">
        <f t="shared" si="110"/>
        <v>971</v>
      </c>
      <c r="M679">
        <f t="shared" ca="1" si="111"/>
        <v>612</v>
      </c>
      <c r="N679">
        <f t="shared" ca="1" si="112"/>
        <v>292</v>
      </c>
      <c r="O679" s="2">
        <f t="shared" ca="1" si="113"/>
        <v>0.63027806385169927</v>
      </c>
    </row>
    <row r="680" spans="1:15" x14ac:dyDescent="0.3">
      <c r="A680" s="3" t="s">
        <v>885</v>
      </c>
      <c r="B680" t="str">
        <f t="shared" ca="1" si="114"/>
        <v>Ms. Neha Verma</v>
      </c>
      <c r="C680">
        <f t="shared" ca="1" si="115"/>
        <v>60</v>
      </c>
      <c r="D680" t="str">
        <f t="shared" ca="1" si="116"/>
        <v>Female</v>
      </c>
      <c r="E680">
        <f t="shared" ca="1" si="117"/>
        <v>222000</v>
      </c>
      <c r="F680">
        <f t="shared" ca="1" si="118"/>
        <v>2483949</v>
      </c>
      <c r="G680">
        <f t="shared" ca="1" si="119"/>
        <v>24</v>
      </c>
      <c r="H680">
        <f t="shared" ca="1" si="120"/>
        <v>481</v>
      </c>
      <c r="I680" t="str">
        <f t="shared" ca="1" si="121"/>
        <v>Freelancer</v>
      </c>
      <c r="J680" t="str">
        <f t="shared" ca="1" si="122"/>
        <v>Home</v>
      </c>
      <c r="K680" t="str">
        <f t="shared" ca="1" si="123"/>
        <v>Approved</v>
      </c>
      <c r="L680">
        <f t="shared" si="110"/>
        <v>971</v>
      </c>
      <c r="M680">
        <f t="shared" ca="1" si="111"/>
        <v>612</v>
      </c>
      <c r="N680">
        <f t="shared" ca="1" si="112"/>
        <v>292</v>
      </c>
      <c r="O680" s="2">
        <f t="shared" ca="1" si="113"/>
        <v>0.63027806385169927</v>
      </c>
    </row>
    <row r="681" spans="1:15" x14ac:dyDescent="0.3">
      <c r="A681" s="3" t="s">
        <v>886</v>
      </c>
      <c r="B681" t="str">
        <f t="shared" ca="1" si="114"/>
        <v>Mr. Raj Kumar</v>
      </c>
      <c r="C681">
        <f t="shared" ca="1" si="115"/>
        <v>38</v>
      </c>
      <c r="D681" t="str">
        <f t="shared" ca="1" si="116"/>
        <v>Female</v>
      </c>
      <c r="E681">
        <f t="shared" ca="1" si="117"/>
        <v>447083</v>
      </c>
      <c r="F681">
        <f t="shared" ca="1" si="118"/>
        <v>2054551</v>
      </c>
      <c r="G681">
        <f t="shared" ca="1" si="119"/>
        <v>48</v>
      </c>
      <c r="H681">
        <f t="shared" ca="1" si="120"/>
        <v>599</v>
      </c>
      <c r="I681" t="str">
        <f t="shared" ca="1" si="121"/>
        <v>Self-Employed</v>
      </c>
      <c r="J681" t="str">
        <f t="shared" ca="1" si="122"/>
        <v>Home</v>
      </c>
      <c r="K681" t="str">
        <f t="shared" ca="1" si="123"/>
        <v>Approved</v>
      </c>
      <c r="L681">
        <f t="shared" si="110"/>
        <v>971</v>
      </c>
      <c r="M681">
        <f t="shared" ca="1" si="111"/>
        <v>612</v>
      </c>
      <c r="N681">
        <f t="shared" ca="1" si="112"/>
        <v>292</v>
      </c>
      <c r="O681" s="2">
        <f t="shared" ca="1" si="113"/>
        <v>0.63027806385169927</v>
      </c>
    </row>
    <row r="682" spans="1:15" x14ac:dyDescent="0.3">
      <c r="A682" s="3" t="s">
        <v>887</v>
      </c>
      <c r="B682" t="str">
        <f t="shared" ca="1" si="114"/>
        <v>Mr. Suresh Rao</v>
      </c>
      <c r="C682">
        <f t="shared" ca="1" si="115"/>
        <v>51</v>
      </c>
      <c r="D682" t="str">
        <f t="shared" ca="1" si="116"/>
        <v>Female</v>
      </c>
      <c r="E682">
        <f t="shared" ca="1" si="117"/>
        <v>1734104</v>
      </c>
      <c r="F682">
        <f t="shared" ca="1" si="118"/>
        <v>60537</v>
      </c>
      <c r="G682">
        <f t="shared" ca="1" si="119"/>
        <v>24</v>
      </c>
      <c r="H682">
        <f t="shared" ca="1" si="120"/>
        <v>518</v>
      </c>
      <c r="I682" t="str">
        <f t="shared" ca="1" si="121"/>
        <v>Contract-Based</v>
      </c>
      <c r="J682" t="str">
        <f t="shared" ca="1" si="122"/>
        <v>Home</v>
      </c>
      <c r="K682" t="str">
        <f t="shared" ca="1" si="123"/>
        <v>Approved</v>
      </c>
      <c r="L682">
        <f t="shared" si="110"/>
        <v>971</v>
      </c>
      <c r="M682">
        <f t="shared" ca="1" si="111"/>
        <v>612</v>
      </c>
      <c r="N682">
        <f t="shared" ca="1" si="112"/>
        <v>292</v>
      </c>
      <c r="O682" s="2">
        <f t="shared" ca="1" si="113"/>
        <v>0.63027806385169927</v>
      </c>
    </row>
    <row r="683" spans="1:15" x14ac:dyDescent="0.3">
      <c r="A683" s="3" t="s">
        <v>888</v>
      </c>
      <c r="B683" t="str">
        <f t="shared" ca="1" si="114"/>
        <v>Mr. Amit Das</v>
      </c>
      <c r="C683">
        <f t="shared" ca="1" si="115"/>
        <v>48</v>
      </c>
      <c r="D683" t="str">
        <f t="shared" ca="1" si="116"/>
        <v>Male</v>
      </c>
      <c r="E683">
        <f t="shared" ca="1" si="117"/>
        <v>1187312</v>
      </c>
      <c r="F683">
        <f t="shared" ca="1" si="118"/>
        <v>2393335</v>
      </c>
      <c r="G683">
        <f t="shared" ca="1" si="119"/>
        <v>12</v>
      </c>
      <c r="H683">
        <f t="shared" ca="1" si="120"/>
        <v>841</v>
      </c>
      <c r="I683" t="str">
        <f t="shared" ca="1" si="121"/>
        <v>Student</v>
      </c>
      <c r="J683" t="str">
        <f t="shared" ca="1" si="122"/>
        <v>Personal</v>
      </c>
      <c r="K683" t="str">
        <f t="shared" ca="1" si="123"/>
        <v>Rejected</v>
      </c>
      <c r="L683">
        <f t="shared" si="110"/>
        <v>971</v>
      </c>
      <c r="M683">
        <f t="shared" ca="1" si="111"/>
        <v>612</v>
      </c>
      <c r="N683">
        <f t="shared" ca="1" si="112"/>
        <v>292</v>
      </c>
      <c r="O683" s="2">
        <f t="shared" ca="1" si="113"/>
        <v>0.63027806385169927</v>
      </c>
    </row>
    <row r="684" spans="1:15" x14ac:dyDescent="0.3">
      <c r="A684" s="3" t="s">
        <v>889</v>
      </c>
      <c r="B684" t="str">
        <f t="shared" ca="1" si="114"/>
        <v>Mr. Raj Kumar</v>
      </c>
      <c r="C684">
        <f t="shared" ca="1" si="115"/>
        <v>47</v>
      </c>
      <c r="D684" t="str">
        <f t="shared" ca="1" si="116"/>
        <v>Female</v>
      </c>
      <c r="E684">
        <f t="shared" ca="1" si="117"/>
        <v>1997275</v>
      </c>
      <c r="F684">
        <f t="shared" ca="1" si="118"/>
        <v>550927</v>
      </c>
      <c r="G684">
        <f t="shared" ca="1" si="119"/>
        <v>12</v>
      </c>
      <c r="H684">
        <f t="shared" ca="1" si="120"/>
        <v>371</v>
      </c>
      <c r="I684" t="str">
        <f t="shared" ca="1" si="121"/>
        <v>Student</v>
      </c>
      <c r="J684" t="str">
        <f t="shared" ca="1" si="122"/>
        <v>Education</v>
      </c>
      <c r="K684" t="str">
        <f t="shared" ca="1" si="123"/>
        <v>Approved</v>
      </c>
      <c r="L684">
        <f t="shared" si="110"/>
        <v>971</v>
      </c>
      <c r="M684">
        <f t="shared" ca="1" si="111"/>
        <v>612</v>
      </c>
      <c r="N684">
        <f t="shared" ca="1" si="112"/>
        <v>292</v>
      </c>
      <c r="O684" s="2">
        <f t="shared" ca="1" si="113"/>
        <v>0.63027806385169927</v>
      </c>
    </row>
    <row r="685" spans="1:15" x14ac:dyDescent="0.3">
      <c r="A685" s="3" t="s">
        <v>890</v>
      </c>
      <c r="B685" t="str">
        <f t="shared" ca="1" si="114"/>
        <v>Ms. Pooja Patel</v>
      </c>
      <c r="C685">
        <f t="shared" ca="1" si="115"/>
        <v>40</v>
      </c>
      <c r="D685" t="str">
        <f t="shared" ca="1" si="116"/>
        <v>Male</v>
      </c>
      <c r="E685">
        <f t="shared" ca="1" si="117"/>
        <v>1525142</v>
      </c>
      <c r="F685">
        <f t="shared" ca="1" si="118"/>
        <v>185185</v>
      </c>
      <c r="G685">
        <f t="shared" ca="1" si="119"/>
        <v>36</v>
      </c>
      <c r="H685">
        <f t="shared" ca="1" si="120"/>
        <v>304</v>
      </c>
      <c r="I685" t="str">
        <f t="shared" ca="1" si="121"/>
        <v>Contract-Based</v>
      </c>
      <c r="J685" t="str">
        <f t="shared" ca="1" si="122"/>
        <v>Home</v>
      </c>
      <c r="K685" t="str">
        <f t="shared" ca="1" si="123"/>
        <v>Approved</v>
      </c>
      <c r="L685">
        <f t="shared" si="110"/>
        <v>971</v>
      </c>
      <c r="M685">
        <f t="shared" ca="1" si="111"/>
        <v>612</v>
      </c>
      <c r="N685">
        <f t="shared" ca="1" si="112"/>
        <v>292</v>
      </c>
      <c r="O685" s="2">
        <f t="shared" ca="1" si="113"/>
        <v>0.63027806385169927</v>
      </c>
    </row>
    <row r="686" spans="1:15" x14ac:dyDescent="0.3">
      <c r="A686" s="3" t="s">
        <v>891</v>
      </c>
      <c r="B686" t="str">
        <f t="shared" ca="1" si="114"/>
        <v>Mr. Suresh Rao</v>
      </c>
      <c r="C686">
        <f t="shared" ca="1" si="115"/>
        <v>24</v>
      </c>
      <c r="D686" t="str">
        <f t="shared" ca="1" si="116"/>
        <v>Male</v>
      </c>
      <c r="E686">
        <f t="shared" ca="1" si="117"/>
        <v>364059</v>
      </c>
      <c r="F686">
        <f t="shared" ca="1" si="118"/>
        <v>1543232</v>
      </c>
      <c r="G686">
        <f t="shared" ca="1" si="119"/>
        <v>24</v>
      </c>
      <c r="H686">
        <f t="shared" ca="1" si="120"/>
        <v>848</v>
      </c>
      <c r="I686" t="str">
        <f t="shared" ca="1" si="121"/>
        <v>Contract-Based</v>
      </c>
      <c r="J686" t="str">
        <f t="shared" ca="1" si="122"/>
        <v>Business</v>
      </c>
      <c r="K686" t="str">
        <f t="shared" ca="1" si="123"/>
        <v>Rejected</v>
      </c>
      <c r="L686">
        <f t="shared" si="110"/>
        <v>971</v>
      </c>
      <c r="M686">
        <f t="shared" ca="1" si="111"/>
        <v>612</v>
      </c>
      <c r="N686">
        <f t="shared" ca="1" si="112"/>
        <v>292</v>
      </c>
      <c r="O686" s="2">
        <f t="shared" ca="1" si="113"/>
        <v>0.63027806385169927</v>
      </c>
    </row>
    <row r="687" spans="1:15" x14ac:dyDescent="0.3">
      <c r="A687" s="3" t="s">
        <v>892</v>
      </c>
      <c r="B687" t="str">
        <f t="shared" ca="1" si="114"/>
        <v>Ms. Anjali Singh</v>
      </c>
      <c r="C687">
        <f t="shared" ca="1" si="115"/>
        <v>50</v>
      </c>
      <c r="D687" t="str">
        <f t="shared" ca="1" si="116"/>
        <v>Male</v>
      </c>
      <c r="E687">
        <f t="shared" ca="1" si="117"/>
        <v>1331980</v>
      </c>
      <c r="F687">
        <f t="shared" ca="1" si="118"/>
        <v>2049399</v>
      </c>
      <c r="G687">
        <f t="shared" ca="1" si="119"/>
        <v>60</v>
      </c>
      <c r="H687">
        <f t="shared" ca="1" si="120"/>
        <v>581</v>
      </c>
      <c r="I687" t="str">
        <f t="shared" ca="1" si="121"/>
        <v>Self-Employed</v>
      </c>
      <c r="J687" t="str">
        <f t="shared" ca="1" si="122"/>
        <v>Personal</v>
      </c>
      <c r="K687" t="str">
        <f t="shared" ca="1" si="123"/>
        <v>Approved</v>
      </c>
      <c r="L687">
        <f t="shared" si="110"/>
        <v>971</v>
      </c>
      <c r="M687">
        <f t="shared" ca="1" si="111"/>
        <v>612</v>
      </c>
      <c r="N687">
        <f t="shared" ca="1" si="112"/>
        <v>292</v>
      </c>
      <c r="O687" s="2">
        <f t="shared" ca="1" si="113"/>
        <v>0.63027806385169927</v>
      </c>
    </row>
    <row r="688" spans="1:15" x14ac:dyDescent="0.3">
      <c r="A688" s="3" t="s">
        <v>893</v>
      </c>
      <c r="B688" t="str">
        <f t="shared" ca="1" si="114"/>
        <v>Mr. Raj Kumar</v>
      </c>
      <c r="C688">
        <f t="shared" ca="1" si="115"/>
        <v>40</v>
      </c>
      <c r="D688" t="str">
        <f t="shared" ca="1" si="116"/>
        <v>Male</v>
      </c>
      <c r="E688">
        <f t="shared" ca="1" si="117"/>
        <v>1281585</v>
      </c>
      <c r="F688">
        <f t="shared" ca="1" si="118"/>
        <v>1536139</v>
      </c>
      <c r="G688">
        <f t="shared" ca="1" si="119"/>
        <v>12</v>
      </c>
      <c r="H688">
        <f t="shared" ca="1" si="120"/>
        <v>743</v>
      </c>
      <c r="I688" t="str">
        <f t="shared" ca="1" si="121"/>
        <v>Freelancer</v>
      </c>
      <c r="J688" t="str">
        <f t="shared" ca="1" si="122"/>
        <v>Personal</v>
      </c>
      <c r="K688" t="str">
        <f t="shared" ca="1" si="123"/>
        <v>Approved</v>
      </c>
      <c r="L688">
        <f t="shared" si="110"/>
        <v>971</v>
      </c>
      <c r="M688">
        <f t="shared" ca="1" si="111"/>
        <v>612</v>
      </c>
      <c r="N688">
        <f t="shared" ca="1" si="112"/>
        <v>292</v>
      </c>
      <c r="O688" s="2">
        <f t="shared" ca="1" si="113"/>
        <v>0.63027806385169927</v>
      </c>
    </row>
    <row r="689" spans="1:15" x14ac:dyDescent="0.3">
      <c r="A689" s="3" t="s">
        <v>894</v>
      </c>
      <c r="B689" t="str">
        <f t="shared" ca="1" si="114"/>
        <v>Mr. Raj Kumar</v>
      </c>
      <c r="C689">
        <f t="shared" ca="1" si="115"/>
        <v>61</v>
      </c>
      <c r="D689" t="str">
        <f t="shared" ca="1" si="116"/>
        <v>Male</v>
      </c>
      <c r="E689">
        <f t="shared" ca="1" si="117"/>
        <v>1143727</v>
      </c>
      <c r="F689">
        <f t="shared" ca="1" si="118"/>
        <v>2422768</v>
      </c>
      <c r="G689">
        <f t="shared" ca="1" si="119"/>
        <v>48</v>
      </c>
      <c r="H689">
        <f t="shared" ca="1" si="120"/>
        <v>326</v>
      </c>
      <c r="I689" t="str">
        <f t="shared" ca="1" si="121"/>
        <v>Business</v>
      </c>
      <c r="J689" t="str">
        <f t="shared" ca="1" si="122"/>
        <v>Personal</v>
      </c>
      <c r="K689" t="str">
        <f t="shared" ca="1" si="123"/>
        <v>Approved</v>
      </c>
      <c r="L689">
        <f t="shared" si="110"/>
        <v>971</v>
      </c>
      <c r="M689">
        <f t="shared" ca="1" si="111"/>
        <v>612</v>
      </c>
      <c r="N689">
        <f t="shared" ca="1" si="112"/>
        <v>292</v>
      </c>
      <c r="O689" s="2">
        <f t="shared" ca="1" si="113"/>
        <v>0.63027806385169927</v>
      </c>
    </row>
    <row r="690" spans="1:15" x14ac:dyDescent="0.3">
      <c r="A690" s="3" t="s">
        <v>895</v>
      </c>
      <c r="B690" t="str">
        <f t="shared" ca="1" si="114"/>
        <v>Mr. Arun Kumar</v>
      </c>
      <c r="C690">
        <f t="shared" ca="1" si="115"/>
        <v>40</v>
      </c>
      <c r="D690" t="str">
        <f t="shared" ca="1" si="116"/>
        <v>Male</v>
      </c>
      <c r="E690">
        <f t="shared" ca="1" si="117"/>
        <v>824396</v>
      </c>
      <c r="F690">
        <f t="shared" ca="1" si="118"/>
        <v>825529</v>
      </c>
      <c r="G690">
        <f t="shared" ca="1" si="119"/>
        <v>60</v>
      </c>
      <c r="H690">
        <f t="shared" ca="1" si="120"/>
        <v>382</v>
      </c>
      <c r="I690" t="str">
        <f t="shared" ca="1" si="121"/>
        <v>Self-Employed</v>
      </c>
      <c r="J690" t="str">
        <f t="shared" ca="1" si="122"/>
        <v>Personal</v>
      </c>
      <c r="K690" t="str">
        <f t="shared" ca="1" si="123"/>
        <v>Approved</v>
      </c>
      <c r="L690">
        <f t="shared" si="110"/>
        <v>971</v>
      </c>
      <c r="M690">
        <f t="shared" ca="1" si="111"/>
        <v>612</v>
      </c>
      <c r="N690">
        <f t="shared" ca="1" si="112"/>
        <v>292</v>
      </c>
      <c r="O690" s="2">
        <f t="shared" ca="1" si="113"/>
        <v>0.63027806385169927</v>
      </c>
    </row>
    <row r="691" spans="1:15" x14ac:dyDescent="0.3">
      <c r="A691" s="3" t="s">
        <v>896</v>
      </c>
      <c r="B691" t="str">
        <f t="shared" ca="1" si="114"/>
        <v>Mr. Suresh Rao</v>
      </c>
      <c r="C691">
        <f t="shared" ca="1" si="115"/>
        <v>40</v>
      </c>
      <c r="D691" t="str">
        <f t="shared" ca="1" si="116"/>
        <v>Female</v>
      </c>
      <c r="E691">
        <f t="shared" ca="1" si="117"/>
        <v>1020039</v>
      </c>
      <c r="F691">
        <f t="shared" ca="1" si="118"/>
        <v>1962061</v>
      </c>
      <c r="G691">
        <f t="shared" ca="1" si="119"/>
        <v>72</v>
      </c>
      <c r="H691">
        <f t="shared" ca="1" si="120"/>
        <v>811</v>
      </c>
      <c r="I691" t="str">
        <f t="shared" ca="1" si="121"/>
        <v>Salaried</v>
      </c>
      <c r="J691" t="str">
        <f t="shared" ca="1" si="122"/>
        <v>Car</v>
      </c>
      <c r="K691" t="str">
        <f t="shared" ca="1" si="123"/>
        <v>Approved</v>
      </c>
      <c r="L691">
        <f t="shared" si="110"/>
        <v>971</v>
      </c>
      <c r="M691">
        <f t="shared" ca="1" si="111"/>
        <v>612</v>
      </c>
      <c r="N691">
        <f t="shared" ca="1" si="112"/>
        <v>292</v>
      </c>
      <c r="O691" s="2">
        <f t="shared" ca="1" si="113"/>
        <v>0.63027806385169927</v>
      </c>
    </row>
    <row r="692" spans="1:15" x14ac:dyDescent="0.3">
      <c r="A692" s="3" t="s">
        <v>897</v>
      </c>
      <c r="B692" t="str">
        <f t="shared" ca="1" si="114"/>
        <v>Ms. Priya Sharma</v>
      </c>
      <c r="C692">
        <f t="shared" ca="1" si="115"/>
        <v>23</v>
      </c>
      <c r="D692" t="str">
        <f t="shared" ca="1" si="116"/>
        <v>Female</v>
      </c>
      <c r="E692">
        <f t="shared" ca="1" si="117"/>
        <v>783955</v>
      </c>
      <c r="F692">
        <f t="shared" ca="1" si="118"/>
        <v>91123</v>
      </c>
      <c r="G692">
        <f t="shared" ca="1" si="119"/>
        <v>24</v>
      </c>
      <c r="H692">
        <f t="shared" ca="1" si="120"/>
        <v>738</v>
      </c>
      <c r="I692" t="str">
        <f t="shared" ca="1" si="121"/>
        <v>Self-Employed</v>
      </c>
      <c r="J692" t="str">
        <f t="shared" ca="1" si="122"/>
        <v>Business</v>
      </c>
      <c r="K692" t="str">
        <f t="shared" ca="1" si="123"/>
        <v>Approved</v>
      </c>
      <c r="L692">
        <f t="shared" si="110"/>
        <v>971</v>
      </c>
      <c r="M692">
        <f t="shared" ca="1" si="111"/>
        <v>612</v>
      </c>
      <c r="N692">
        <f t="shared" ca="1" si="112"/>
        <v>292</v>
      </c>
      <c r="O692" s="2">
        <f t="shared" ca="1" si="113"/>
        <v>0.63027806385169927</v>
      </c>
    </row>
    <row r="693" spans="1:15" x14ac:dyDescent="0.3">
      <c r="A693" s="3" t="s">
        <v>898</v>
      </c>
      <c r="B693" t="str">
        <f t="shared" ca="1" si="114"/>
        <v>Ms. Kajal Yadav</v>
      </c>
      <c r="C693">
        <f t="shared" ca="1" si="115"/>
        <v>25</v>
      </c>
      <c r="D693" t="str">
        <f t="shared" ca="1" si="116"/>
        <v>Female</v>
      </c>
      <c r="E693">
        <f t="shared" ca="1" si="117"/>
        <v>985877</v>
      </c>
      <c r="F693">
        <f t="shared" ca="1" si="118"/>
        <v>2432988</v>
      </c>
      <c r="G693">
        <f t="shared" ca="1" si="119"/>
        <v>84</v>
      </c>
      <c r="H693">
        <f t="shared" ca="1" si="120"/>
        <v>609</v>
      </c>
      <c r="I693" t="str">
        <f t="shared" ca="1" si="121"/>
        <v>Salaried</v>
      </c>
      <c r="J693" t="str">
        <f t="shared" ca="1" si="122"/>
        <v>Car</v>
      </c>
      <c r="K693" t="str">
        <f t="shared" ca="1" si="123"/>
        <v>Approved</v>
      </c>
      <c r="L693">
        <f t="shared" si="110"/>
        <v>971</v>
      </c>
      <c r="M693">
        <f t="shared" ca="1" si="111"/>
        <v>612</v>
      </c>
      <c r="N693">
        <f t="shared" ca="1" si="112"/>
        <v>292</v>
      </c>
      <c r="O693" s="2">
        <f t="shared" ca="1" si="113"/>
        <v>0.63027806385169927</v>
      </c>
    </row>
    <row r="694" spans="1:15" x14ac:dyDescent="0.3">
      <c r="A694" s="3" t="s">
        <v>899</v>
      </c>
      <c r="B694" t="str">
        <f t="shared" ca="1" si="114"/>
        <v>Mr. Arun Kumar</v>
      </c>
      <c r="C694">
        <f t="shared" ca="1" si="115"/>
        <v>51</v>
      </c>
      <c r="D694" t="str">
        <f t="shared" ca="1" si="116"/>
        <v>Female</v>
      </c>
      <c r="E694">
        <f t="shared" ca="1" si="117"/>
        <v>1590551</v>
      </c>
      <c r="F694">
        <f t="shared" ca="1" si="118"/>
        <v>198173</v>
      </c>
      <c r="G694">
        <f t="shared" ca="1" si="119"/>
        <v>36</v>
      </c>
      <c r="H694">
        <f t="shared" ca="1" si="120"/>
        <v>354</v>
      </c>
      <c r="I694" t="str">
        <f t="shared" ca="1" si="121"/>
        <v>Self-Employed</v>
      </c>
      <c r="J694" t="str">
        <f t="shared" ca="1" si="122"/>
        <v>Personal</v>
      </c>
      <c r="K694" t="str">
        <f t="shared" ca="1" si="123"/>
        <v>Approved</v>
      </c>
      <c r="L694">
        <f t="shared" si="110"/>
        <v>971</v>
      </c>
      <c r="M694">
        <f t="shared" ca="1" si="111"/>
        <v>612</v>
      </c>
      <c r="N694">
        <f t="shared" ca="1" si="112"/>
        <v>292</v>
      </c>
      <c r="O694" s="2">
        <f t="shared" ca="1" si="113"/>
        <v>0.63027806385169927</v>
      </c>
    </row>
    <row r="695" spans="1:15" x14ac:dyDescent="0.3">
      <c r="A695" s="3" t="s">
        <v>900</v>
      </c>
      <c r="B695" t="str">
        <f t="shared" ca="1" si="114"/>
        <v>Ms. Kajal Yadav</v>
      </c>
      <c r="C695">
        <f t="shared" ca="1" si="115"/>
        <v>58</v>
      </c>
      <c r="D695" t="str">
        <f t="shared" ca="1" si="116"/>
        <v>Male</v>
      </c>
      <c r="E695">
        <f t="shared" ca="1" si="117"/>
        <v>1476183</v>
      </c>
      <c r="F695">
        <f t="shared" ca="1" si="118"/>
        <v>1315448</v>
      </c>
      <c r="G695">
        <f t="shared" ca="1" si="119"/>
        <v>24</v>
      </c>
      <c r="H695">
        <f t="shared" ca="1" si="120"/>
        <v>666</v>
      </c>
      <c r="I695" t="str">
        <f t="shared" ca="1" si="121"/>
        <v>Contract-Based</v>
      </c>
      <c r="J695" t="str">
        <f t="shared" ca="1" si="122"/>
        <v>Education</v>
      </c>
      <c r="K695" t="str">
        <f t="shared" ca="1" si="123"/>
        <v>Approved</v>
      </c>
      <c r="L695">
        <f t="shared" si="110"/>
        <v>971</v>
      </c>
      <c r="M695">
        <f t="shared" ca="1" si="111"/>
        <v>612</v>
      </c>
      <c r="N695">
        <f t="shared" ca="1" si="112"/>
        <v>292</v>
      </c>
      <c r="O695" s="2">
        <f t="shared" ca="1" si="113"/>
        <v>0.63027806385169927</v>
      </c>
    </row>
    <row r="696" spans="1:15" x14ac:dyDescent="0.3">
      <c r="A696" s="3" t="s">
        <v>901</v>
      </c>
      <c r="B696" t="str">
        <f t="shared" ca="1" si="114"/>
        <v>Ms. Priya Sharma</v>
      </c>
      <c r="C696">
        <f t="shared" ca="1" si="115"/>
        <v>41</v>
      </c>
      <c r="D696" t="str">
        <f t="shared" ca="1" si="116"/>
        <v>Female</v>
      </c>
      <c r="E696">
        <f t="shared" ca="1" si="117"/>
        <v>1533492</v>
      </c>
      <c r="F696">
        <f t="shared" ca="1" si="118"/>
        <v>2296682</v>
      </c>
      <c r="G696">
        <f t="shared" ca="1" si="119"/>
        <v>60</v>
      </c>
      <c r="H696">
        <f t="shared" ca="1" si="120"/>
        <v>670</v>
      </c>
      <c r="I696" t="str">
        <f t="shared" ca="1" si="121"/>
        <v>Freelancer</v>
      </c>
      <c r="J696" t="str">
        <f t="shared" ca="1" si="122"/>
        <v>Business</v>
      </c>
      <c r="K696" t="str">
        <f t="shared" ca="1" si="123"/>
        <v>Approved</v>
      </c>
      <c r="L696">
        <f t="shared" si="110"/>
        <v>971</v>
      </c>
      <c r="M696">
        <f t="shared" ca="1" si="111"/>
        <v>612</v>
      </c>
      <c r="N696">
        <f t="shared" ca="1" si="112"/>
        <v>292</v>
      </c>
      <c r="O696" s="2">
        <f t="shared" ca="1" si="113"/>
        <v>0.63027806385169927</v>
      </c>
    </row>
    <row r="697" spans="1:15" x14ac:dyDescent="0.3">
      <c r="A697" s="3" t="s">
        <v>902</v>
      </c>
      <c r="B697" t="str">
        <f t="shared" ca="1" si="114"/>
        <v>Mr. Suresh Rao</v>
      </c>
      <c r="C697">
        <f t="shared" ca="1" si="115"/>
        <v>31</v>
      </c>
      <c r="D697" t="str">
        <f t="shared" ca="1" si="116"/>
        <v>Male</v>
      </c>
      <c r="E697">
        <f t="shared" ca="1" si="117"/>
        <v>1488597</v>
      </c>
      <c r="F697">
        <f t="shared" ca="1" si="118"/>
        <v>1887499</v>
      </c>
      <c r="G697">
        <f t="shared" ca="1" si="119"/>
        <v>36</v>
      </c>
      <c r="H697">
        <f t="shared" ca="1" si="120"/>
        <v>536</v>
      </c>
      <c r="I697" t="str">
        <f t="shared" ca="1" si="121"/>
        <v>Salaried</v>
      </c>
      <c r="J697" t="str">
        <f t="shared" ca="1" si="122"/>
        <v>Home</v>
      </c>
      <c r="K697" t="str">
        <f t="shared" ca="1" si="123"/>
        <v>Approved</v>
      </c>
      <c r="L697">
        <f t="shared" si="110"/>
        <v>971</v>
      </c>
      <c r="M697">
        <f t="shared" ca="1" si="111"/>
        <v>612</v>
      </c>
      <c r="N697">
        <f t="shared" ca="1" si="112"/>
        <v>292</v>
      </c>
      <c r="O697" s="2">
        <f t="shared" ca="1" si="113"/>
        <v>0.63027806385169927</v>
      </c>
    </row>
    <row r="698" spans="1:15" x14ac:dyDescent="0.3">
      <c r="A698" s="3" t="s">
        <v>903</v>
      </c>
      <c r="B698" t="str">
        <f t="shared" ca="1" si="114"/>
        <v>Mr. Raj Kumar</v>
      </c>
      <c r="C698">
        <f t="shared" ca="1" si="115"/>
        <v>30</v>
      </c>
      <c r="D698" t="str">
        <f t="shared" ca="1" si="116"/>
        <v>Male</v>
      </c>
      <c r="E698">
        <f t="shared" ca="1" si="117"/>
        <v>1294006</v>
      </c>
      <c r="F698">
        <f t="shared" ca="1" si="118"/>
        <v>1654923</v>
      </c>
      <c r="G698">
        <f t="shared" ca="1" si="119"/>
        <v>24</v>
      </c>
      <c r="H698">
        <f t="shared" ca="1" si="120"/>
        <v>714</v>
      </c>
      <c r="I698" t="str">
        <f t="shared" ca="1" si="121"/>
        <v>Freelancer</v>
      </c>
      <c r="J698" t="str">
        <f t="shared" ca="1" si="122"/>
        <v>Personal</v>
      </c>
      <c r="K698" t="str">
        <f t="shared" ca="1" si="123"/>
        <v>Approved</v>
      </c>
      <c r="L698">
        <f t="shared" si="110"/>
        <v>971</v>
      </c>
      <c r="M698">
        <f t="shared" ca="1" si="111"/>
        <v>612</v>
      </c>
      <c r="N698">
        <f t="shared" ca="1" si="112"/>
        <v>292</v>
      </c>
      <c r="O698" s="2">
        <f t="shared" ca="1" si="113"/>
        <v>0.63027806385169927</v>
      </c>
    </row>
    <row r="699" spans="1:15" x14ac:dyDescent="0.3">
      <c r="A699" s="3" t="s">
        <v>904</v>
      </c>
      <c r="B699" t="str">
        <f t="shared" ca="1" si="114"/>
        <v>Mr. Arun Kumar</v>
      </c>
      <c r="C699">
        <f t="shared" ca="1" si="115"/>
        <v>65</v>
      </c>
      <c r="D699" t="str">
        <f t="shared" ca="1" si="116"/>
        <v>Male</v>
      </c>
      <c r="E699">
        <f t="shared" ca="1" si="117"/>
        <v>1169879</v>
      </c>
      <c r="F699">
        <f t="shared" ca="1" si="118"/>
        <v>954107</v>
      </c>
      <c r="G699">
        <f t="shared" ca="1" si="119"/>
        <v>12</v>
      </c>
      <c r="H699">
        <f t="shared" ca="1" si="120"/>
        <v>353</v>
      </c>
      <c r="I699" t="str">
        <f t="shared" ca="1" si="121"/>
        <v>Self-Employed</v>
      </c>
      <c r="J699" t="str">
        <f t="shared" ca="1" si="122"/>
        <v>Home</v>
      </c>
      <c r="K699" t="str">
        <f t="shared" ca="1" si="123"/>
        <v>Approved</v>
      </c>
      <c r="L699">
        <f t="shared" si="110"/>
        <v>971</v>
      </c>
      <c r="M699">
        <f t="shared" ca="1" si="111"/>
        <v>612</v>
      </c>
      <c r="N699">
        <f t="shared" ca="1" si="112"/>
        <v>292</v>
      </c>
      <c r="O699" s="2">
        <f t="shared" ca="1" si="113"/>
        <v>0.63027806385169927</v>
      </c>
    </row>
    <row r="700" spans="1:15" x14ac:dyDescent="0.3">
      <c r="A700" s="3" t="s">
        <v>905</v>
      </c>
      <c r="B700" t="str">
        <f t="shared" ca="1" si="114"/>
        <v>Mr. Raj Kumar</v>
      </c>
      <c r="C700">
        <f t="shared" ca="1" si="115"/>
        <v>47</v>
      </c>
      <c r="D700" t="str">
        <f t="shared" ca="1" si="116"/>
        <v>Male</v>
      </c>
      <c r="E700">
        <f t="shared" ca="1" si="117"/>
        <v>1693423</v>
      </c>
      <c r="F700">
        <f t="shared" ca="1" si="118"/>
        <v>984987</v>
      </c>
      <c r="G700">
        <f t="shared" ca="1" si="119"/>
        <v>84</v>
      </c>
      <c r="H700">
        <f t="shared" ca="1" si="120"/>
        <v>789</v>
      </c>
      <c r="I700" t="str">
        <f t="shared" ca="1" si="121"/>
        <v>Contract-Based</v>
      </c>
      <c r="J700" t="str">
        <f t="shared" ca="1" si="122"/>
        <v>Car</v>
      </c>
      <c r="K700" t="str">
        <f t="shared" ca="1" si="123"/>
        <v>Approved</v>
      </c>
      <c r="L700">
        <f t="shared" si="110"/>
        <v>971</v>
      </c>
      <c r="M700">
        <f t="shared" ca="1" si="111"/>
        <v>612</v>
      </c>
      <c r="N700">
        <f t="shared" ca="1" si="112"/>
        <v>292</v>
      </c>
      <c r="O700" s="2">
        <f t="shared" ca="1" si="113"/>
        <v>0.63027806385169927</v>
      </c>
    </row>
    <row r="701" spans="1:15" x14ac:dyDescent="0.3">
      <c r="A701" s="3" t="s">
        <v>906</v>
      </c>
      <c r="B701" t="str">
        <f t="shared" ca="1" si="114"/>
        <v>Ms. Kajal Yadav</v>
      </c>
      <c r="C701">
        <f t="shared" ca="1" si="115"/>
        <v>47</v>
      </c>
      <c r="D701" t="str">
        <f t="shared" ca="1" si="116"/>
        <v>Male</v>
      </c>
      <c r="E701">
        <f t="shared" ca="1" si="117"/>
        <v>1402575</v>
      </c>
      <c r="F701">
        <f t="shared" ca="1" si="118"/>
        <v>1574417</v>
      </c>
      <c r="G701">
        <f t="shared" ca="1" si="119"/>
        <v>48</v>
      </c>
      <c r="H701">
        <f t="shared" ca="1" si="120"/>
        <v>349</v>
      </c>
      <c r="I701" t="str">
        <f t="shared" ca="1" si="121"/>
        <v>Freelancer</v>
      </c>
      <c r="J701" t="str">
        <f t="shared" ca="1" si="122"/>
        <v>Home</v>
      </c>
      <c r="K701" t="str">
        <f t="shared" ca="1" si="123"/>
        <v>Approved</v>
      </c>
      <c r="L701">
        <f t="shared" si="110"/>
        <v>971</v>
      </c>
      <c r="M701">
        <f t="shared" ca="1" si="111"/>
        <v>612</v>
      </c>
      <c r="N701">
        <f t="shared" ca="1" si="112"/>
        <v>292</v>
      </c>
      <c r="O701" s="2">
        <f t="shared" ca="1" si="113"/>
        <v>0.63027806385169927</v>
      </c>
    </row>
    <row r="702" spans="1:15" x14ac:dyDescent="0.3">
      <c r="A702" s="3" t="s">
        <v>907</v>
      </c>
      <c r="B702" t="str">
        <f t="shared" ca="1" si="114"/>
        <v>Ms. Priya Sharma</v>
      </c>
      <c r="C702">
        <f t="shared" ca="1" si="115"/>
        <v>62</v>
      </c>
      <c r="D702" t="str">
        <f t="shared" ca="1" si="116"/>
        <v>Male</v>
      </c>
      <c r="E702">
        <f t="shared" ca="1" si="117"/>
        <v>833870</v>
      </c>
      <c r="F702">
        <f t="shared" ca="1" si="118"/>
        <v>1251746</v>
      </c>
      <c r="G702">
        <f t="shared" ca="1" si="119"/>
        <v>12</v>
      </c>
      <c r="H702">
        <f t="shared" ca="1" si="120"/>
        <v>892</v>
      </c>
      <c r="I702" t="str">
        <f t="shared" ca="1" si="121"/>
        <v>Student</v>
      </c>
      <c r="J702" t="str">
        <f t="shared" ca="1" si="122"/>
        <v>Home</v>
      </c>
      <c r="K702" t="str">
        <f t="shared" ca="1" si="123"/>
        <v>Rejected</v>
      </c>
      <c r="L702">
        <f t="shared" si="110"/>
        <v>971</v>
      </c>
      <c r="M702">
        <f t="shared" ca="1" si="111"/>
        <v>612</v>
      </c>
      <c r="N702">
        <f t="shared" ca="1" si="112"/>
        <v>292</v>
      </c>
      <c r="O702" s="2">
        <f t="shared" ca="1" si="113"/>
        <v>0.63027806385169927</v>
      </c>
    </row>
    <row r="703" spans="1:15" x14ac:dyDescent="0.3">
      <c r="A703" s="3" t="s">
        <v>908</v>
      </c>
      <c r="B703" t="str">
        <f t="shared" ca="1" si="114"/>
        <v>Ms. Priya Sharma</v>
      </c>
      <c r="C703">
        <f t="shared" ca="1" si="115"/>
        <v>52</v>
      </c>
      <c r="D703" t="str">
        <f t="shared" ca="1" si="116"/>
        <v>Female</v>
      </c>
      <c r="E703">
        <f t="shared" ca="1" si="117"/>
        <v>1408821</v>
      </c>
      <c r="F703">
        <f t="shared" ca="1" si="118"/>
        <v>692560</v>
      </c>
      <c r="G703">
        <f t="shared" ca="1" si="119"/>
        <v>24</v>
      </c>
      <c r="H703">
        <f t="shared" ca="1" si="120"/>
        <v>326</v>
      </c>
      <c r="I703" t="str">
        <f t="shared" ca="1" si="121"/>
        <v>Student</v>
      </c>
      <c r="J703" t="str">
        <f t="shared" ca="1" si="122"/>
        <v>Car</v>
      </c>
      <c r="K703" t="str">
        <f t="shared" ca="1" si="123"/>
        <v>Approved</v>
      </c>
      <c r="L703">
        <f t="shared" si="110"/>
        <v>971</v>
      </c>
      <c r="M703">
        <f t="shared" ca="1" si="111"/>
        <v>612</v>
      </c>
      <c r="N703">
        <f t="shared" ca="1" si="112"/>
        <v>292</v>
      </c>
      <c r="O703" s="2">
        <f t="shared" ca="1" si="113"/>
        <v>0.63027806385169927</v>
      </c>
    </row>
    <row r="704" spans="1:15" x14ac:dyDescent="0.3">
      <c r="A704" s="3" t="s">
        <v>909</v>
      </c>
      <c r="B704" t="str">
        <f t="shared" ca="1" si="114"/>
        <v>Mr. Amit Das</v>
      </c>
      <c r="C704">
        <f t="shared" ca="1" si="115"/>
        <v>25</v>
      </c>
      <c r="D704" t="str">
        <f t="shared" ca="1" si="116"/>
        <v>Female</v>
      </c>
      <c r="E704">
        <f t="shared" ca="1" si="117"/>
        <v>1528482</v>
      </c>
      <c r="F704">
        <f t="shared" ca="1" si="118"/>
        <v>1026063</v>
      </c>
      <c r="G704">
        <f t="shared" ca="1" si="119"/>
        <v>72</v>
      </c>
      <c r="H704">
        <f t="shared" ca="1" si="120"/>
        <v>628</v>
      </c>
      <c r="I704" t="str">
        <f t="shared" ca="1" si="121"/>
        <v>Freelancer</v>
      </c>
      <c r="J704" t="str">
        <f t="shared" ca="1" si="122"/>
        <v>Education</v>
      </c>
      <c r="K704" t="str">
        <f t="shared" ca="1" si="123"/>
        <v>Approved</v>
      </c>
      <c r="L704">
        <f t="shared" si="110"/>
        <v>971</v>
      </c>
      <c r="M704">
        <f t="shared" ca="1" si="111"/>
        <v>612</v>
      </c>
      <c r="N704">
        <f t="shared" ca="1" si="112"/>
        <v>292</v>
      </c>
      <c r="O704" s="2">
        <f t="shared" ca="1" si="113"/>
        <v>0.63027806385169927</v>
      </c>
    </row>
    <row r="705" spans="1:15" x14ac:dyDescent="0.3">
      <c r="A705" s="3" t="s">
        <v>910</v>
      </c>
      <c r="B705" t="str">
        <f t="shared" ca="1" si="114"/>
        <v>Mr. Arun Kumar</v>
      </c>
      <c r="C705">
        <f t="shared" ca="1" si="115"/>
        <v>44</v>
      </c>
      <c r="D705" t="str">
        <f t="shared" ca="1" si="116"/>
        <v>Female</v>
      </c>
      <c r="E705">
        <f t="shared" ca="1" si="117"/>
        <v>1468468</v>
      </c>
      <c r="F705">
        <f t="shared" ca="1" si="118"/>
        <v>540609</v>
      </c>
      <c r="G705">
        <f t="shared" ca="1" si="119"/>
        <v>60</v>
      </c>
      <c r="H705">
        <f t="shared" ca="1" si="120"/>
        <v>879</v>
      </c>
      <c r="I705" t="str">
        <f t="shared" ca="1" si="121"/>
        <v>Salaried</v>
      </c>
      <c r="J705" t="str">
        <f t="shared" ca="1" si="122"/>
        <v>Business</v>
      </c>
      <c r="K705" t="str">
        <f t="shared" ca="1" si="123"/>
        <v>Rejected</v>
      </c>
      <c r="L705">
        <f t="shared" si="110"/>
        <v>971</v>
      </c>
      <c r="M705">
        <f t="shared" ca="1" si="111"/>
        <v>612</v>
      </c>
      <c r="N705">
        <f t="shared" ca="1" si="112"/>
        <v>292</v>
      </c>
      <c r="O705" s="2">
        <f t="shared" ca="1" si="113"/>
        <v>0.63027806385169927</v>
      </c>
    </row>
    <row r="706" spans="1:15" x14ac:dyDescent="0.3">
      <c r="A706" s="3" t="s">
        <v>911</v>
      </c>
      <c r="B706" t="str">
        <f t="shared" ca="1" si="114"/>
        <v>Ms. Anjali Singh</v>
      </c>
      <c r="C706">
        <f t="shared" ca="1" si="115"/>
        <v>31</v>
      </c>
      <c r="D706" t="str">
        <f t="shared" ca="1" si="116"/>
        <v>Male</v>
      </c>
      <c r="E706">
        <f t="shared" ca="1" si="117"/>
        <v>1570892</v>
      </c>
      <c r="F706">
        <f t="shared" ca="1" si="118"/>
        <v>1250244</v>
      </c>
      <c r="G706">
        <f t="shared" ca="1" si="119"/>
        <v>36</v>
      </c>
      <c r="H706">
        <f t="shared" ca="1" si="120"/>
        <v>529</v>
      </c>
      <c r="I706" t="str">
        <f t="shared" ca="1" si="121"/>
        <v>Self-Employed</v>
      </c>
      <c r="J706" t="str">
        <f t="shared" ca="1" si="122"/>
        <v>Home</v>
      </c>
      <c r="K706" t="str">
        <f t="shared" ca="1" si="123"/>
        <v>Approved</v>
      </c>
      <c r="L706">
        <f t="shared" ref="L706:L769" si="124">COUNTA($A$2:$A$1001)</f>
        <v>971</v>
      </c>
      <c r="M706">
        <f t="shared" ca="1" si="111"/>
        <v>612</v>
      </c>
      <c r="N706">
        <f t="shared" ca="1" si="112"/>
        <v>292</v>
      </c>
      <c r="O706" s="2">
        <f t="shared" ca="1" si="113"/>
        <v>0.63027806385169927</v>
      </c>
    </row>
    <row r="707" spans="1:15" x14ac:dyDescent="0.3">
      <c r="A707" s="3" t="s">
        <v>912</v>
      </c>
      <c r="B707" t="str">
        <f t="shared" ca="1" si="114"/>
        <v>Ms. Pooja Patel</v>
      </c>
      <c r="C707">
        <f t="shared" ca="1" si="115"/>
        <v>24</v>
      </c>
      <c r="D707" t="str">
        <f t="shared" ca="1" si="116"/>
        <v>Female</v>
      </c>
      <c r="E707">
        <f t="shared" ca="1" si="117"/>
        <v>278414</v>
      </c>
      <c r="F707">
        <f t="shared" ca="1" si="118"/>
        <v>1501998</v>
      </c>
      <c r="G707">
        <f t="shared" ca="1" si="119"/>
        <v>84</v>
      </c>
      <c r="H707">
        <f t="shared" ca="1" si="120"/>
        <v>776</v>
      </c>
      <c r="I707" t="str">
        <f t="shared" ca="1" si="121"/>
        <v>Contract-Based</v>
      </c>
      <c r="J707" t="str">
        <f t="shared" ca="1" si="122"/>
        <v>Education</v>
      </c>
      <c r="K707" t="str">
        <f t="shared" ca="1" si="123"/>
        <v>Rejected</v>
      </c>
      <c r="L707">
        <f t="shared" si="124"/>
        <v>971</v>
      </c>
      <c r="M707">
        <f t="shared" ref="M707:M770" ca="1" si="125">COUNTIF($K$2:$K$1001,"Approved")</f>
        <v>612</v>
      </c>
      <c r="N707">
        <f t="shared" ref="N707:N770" ca="1" si="126">COUNTIF($K$2:$K$1001,"Rejected")</f>
        <v>292</v>
      </c>
      <c r="O707" s="2">
        <f t="shared" ref="O707:O770" ca="1" si="127">COUNTIF($K$2:$K$1001,"Approved") / COUNTA($A$2:$A$1001)</f>
        <v>0.63027806385169927</v>
      </c>
    </row>
    <row r="708" spans="1:15" x14ac:dyDescent="0.3">
      <c r="A708" s="3" t="s">
        <v>913</v>
      </c>
      <c r="B708" t="str">
        <f t="shared" ca="1" si="114"/>
        <v>Ms. Anjali Singh</v>
      </c>
      <c r="C708">
        <f t="shared" ca="1" si="115"/>
        <v>62</v>
      </c>
      <c r="D708" t="str">
        <f t="shared" ca="1" si="116"/>
        <v>Male</v>
      </c>
      <c r="E708">
        <f t="shared" ca="1" si="117"/>
        <v>305761</v>
      </c>
      <c r="F708">
        <f t="shared" ca="1" si="118"/>
        <v>1328333</v>
      </c>
      <c r="G708">
        <f t="shared" ca="1" si="119"/>
        <v>84</v>
      </c>
      <c r="H708">
        <f t="shared" ca="1" si="120"/>
        <v>327</v>
      </c>
      <c r="I708" t="str">
        <f t="shared" ca="1" si="121"/>
        <v>Contract-Based</v>
      </c>
      <c r="J708" t="str">
        <f t="shared" ca="1" si="122"/>
        <v>Personal</v>
      </c>
      <c r="K708" t="str">
        <f t="shared" ca="1" si="123"/>
        <v>Rejected</v>
      </c>
      <c r="L708">
        <f t="shared" si="124"/>
        <v>971</v>
      </c>
      <c r="M708">
        <f t="shared" ca="1" si="125"/>
        <v>612</v>
      </c>
      <c r="N708">
        <f t="shared" ca="1" si="126"/>
        <v>292</v>
      </c>
      <c r="O708" s="2">
        <f t="shared" ca="1" si="127"/>
        <v>0.63027806385169927</v>
      </c>
    </row>
    <row r="709" spans="1:15" x14ac:dyDescent="0.3">
      <c r="A709" s="3" t="s">
        <v>914</v>
      </c>
      <c r="B709" t="str">
        <f t="shared" ca="1" si="114"/>
        <v>Mr. Suresh Rao</v>
      </c>
      <c r="C709">
        <f t="shared" ca="1" si="115"/>
        <v>41</v>
      </c>
      <c r="D709" t="str">
        <f t="shared" ca="1" si="116"/>
        <v>Female</v>
      </c>
      <c r="E709">
        <f t="shared" ca="1" si="117"/>
        <v>801136</v>
      </c>
      <c r="F709">
        <f t="shared" ca="1" si="118"/>
        <v>1802717</v>
      </c>
      <c r="G709">
        <f t="shared" ca="1" si="119"/>
        <v>72</v>
      </c>
      <c r="H709">
        <f t="shared" ca="1" si="120"/>
        <v>735</v>
      </c>
      <c r="I709" t="str">
        <f t="shared" ca="1" si="121"/>
        <v>Freelancer</v>
      </c>
      <c r="J709" t="str">
        <f t="shared" ca="1" si="122"/>
        <v>Business</v>
      </c>
      <c r="K709" t="str">
        <f t="shared" ca="1" si="123"/>
        <v>Rejected</v>
      </c>
      <c r="L709">
        <f t="shared" si="124"/>
        <v>971</v>
      </c>
      <c r="M709">
        <f t="shared" ca="1" si="125"/>
        <v>612</v>
      </c>
      <c r="N709">
        <f t="shared" ca="1" si="126"/>
        <v>292</v>
      </c>
      <c r="O709" s="2">
        <f t="shared" ca="1" si="127"/>
        <v>0.63027806385169927</v>
      </c>
    </row>
    <row r="710" spans="1:15" x14ac:dyDescent="0.3">
      <c r="A710" s="3" t="s">
        <v>915</v>
      </c>
      <c r="B710" t="str">
        <f t="shared" ca="1" si="114"/>
        <v>Ms. Anjali Singh</v>
      </c>
      <c r="C710">
        <f t="shared" ca="1" si="115"/>
        <v>23</v>
      </c>
      <c r="D710" t="str">
        <f t="shared" ca="1" si="116"/>
        <v>Male</v>
      </c>
      <c r="E710">
        <f t="shared" ca="1" si="117"/>
        <v>988202</v>
      </c>
      <c r="F710">
        <f t="shared" ca="1" si="118"/>
        <v>658026</v>
      </c>
      <c r="G710">
        <f t="shared" ca="1" si="119"/>
        <v>48</v>
      </c>
      <c r="H710">
        <f t="shared" ca="1" si="120"/>
        <v>748</v>
      </c>
      <c r="I710" t="str">
        <f t="shared" ca="1" si="121"/>
        <v>Self-Employed</v>
      </c>
      <c r="J710" t="str">
        <f t="shared" ca="1" si="122"/>
        <v>Home</v>
      </c>
      <c r="K710" t="str">
        <f t="shared" ca="1" si="123"/>
        <v>Rejected</v>
      </c>
      <c r="L710">
        <f t="shared" si="124"/>
        <v>971</v>
      </c>
      <c r="M710">
        <f t="shared" ca="1" si="125"/>
        <v>612</v>
      </c>
      <c r="N710">
        <f t="shared" ca="1" si="126"/>
        <v>292</v>
      </c>
      <c r="O710" s="2">
        <f t="shared" ca="1" si="127"/>
        <v>0.63027806385169927</v>
      </c>
    </row>
    <row r="711" spans="1:15" x14ac:dyDescent="0.3">
      <c r="A711" s="3" t="s">
        <v>916</v>
      </c>
      <c r="B711" t="str">
        <f t="shared" ca="1" si="114"/>
        <v>Mr. Rohan Gupta</v>
      </c>
      <c r="C711">
        <f t="shared" ca="1" si="115"/>
        <v>21</v>
      </c>
      <c r="D711" t="str">
        <f t="shared" ca="1" si="116"/>
        <v>Male</v>
      </c>
      <c r="E711">
        <f t="shared" ca="1" si="117"/>
        <v>1160398</v>
      </c>
      <c r="F711">
        <f t="shared" ca="1" si="118"/>
        <v>507796</v>
      </c>
      <c r="G711">
        <f t="shared" ca="1" si="119"/>
        <v>12</v>
      </c>
      <c r="H711">
        <f t="shared" ca="1" si="120"/>
        <v>504</v>
      </c>
      <c r="I711" t="str">
        <f t="shared" ca="1" si="121"/>
        <v>Business</v>
      </c>
      <c r="J711" t="str">
        <f t="shared" ca="1" si="122"/>
        <v>Car</v>
      </c>
      <c r="K711" t="str">
        <f t="shared" ca="1" si="123"/>
        <v>Approved</v>
      </c>
      <c r="L711">
        <f t="shared" si="124"/>
        <v>971</v>
      </c>
      <c r="M711">
        <f t="shared" ca="1" si="125"/>
        <v>612</v>
      </c>
      <c r="N711">
        <f t="shared" ca="1" si="126"/>
        <v>292</v>
      </c>
      <c r="O711" s="2">
        <f t="shared" ca="1" si="127"/>
        <v>0.63027806385169927</v>
      </c>
    </row>
    <row r="712" spans="1:15" x14ac:dyDescent="0.3">
      <c r="A712" s="3" t="s">
        <v>917</v>
      </c>
      <c r="B712" t="str">
        <f t="shared" ca="1" si="114"/>
        <v>Ms. Priya Sharma</v>
      </c>
      <c r="C712">
        <f t="shared" ca="1" si="115"/>
        <v>52</v>
      </c>
      <c r="D712" t="str">
        <f t="shared" ca="1" si="116"/>
        <v>Male</v>
      </c>
      <c r="E712">
        <f t="shared" ca="1" si="117"/>
        <v>718680</v>
      </c>
      <c r="F712">
        <f t="shared" ca="1" si="118"/>
        <v>546601</v>
      </c>
      <c r="G712">
        <f t="shared" ca="1" si="119"/>
        <v>12</v>
      </c>
      <c r="H712">
        <f t="shared" ca="1" si="120"/>
        <v>663</v>
      </c>
      <c r="I712" t="str">
        <f t="shared" ca="1" si="121"/>
        <v>Freelancer</v>
      </c>
      <c r="J712" t="str">
        <f t="shared" ca="1" si="122"/>
        <v>Car</v>
      </c>
      <c r="K712" t="str">
        <f t="shared" ca="1" si="123"/>
        <v>Rejected</v>
      </c>
      <c r="L712">
        <f t="shared" si="124"/>
        <v>971</v>
      </c>
      <c r="M712">
        <f t="shared" ca="1" si="125"/>
        <v>612</v>
      </c>
      <c r="N712">
        <f t="shared" ca="1" si="126"/>
        <v>292</v>
      </c>
      <c r="O712" s="2">
        <f t="shared" ca="1" si="127"/>
        <v>0.63027806385169927</v>
      </c>
    </row>
    <row r="713" spans="1:15" x14ac:dyDescent="0.3">
      <c r="A713" s="3" t="s">
        <v>918</v>
      </c>
      <c r="B713" t="str">
        <f t="shared" ca="1" si="114"/>
        <v>Ms. Kajal Yadav</v>
      </c>
      <c r="C713">
        <f t="shared" ca="1" si="115"/>
        <v>58</v>
      </c>
      <c r="D713" t="str">
        <f t="shared" ca="1" si="116"/>
        <v>Female</v>
      </c>
      <c r="E713">
        <f t="shared" ca="1" si="117"/>
        <v>1215816</v>
      </c>
      <c r="F713">
        <f t="shared" ca="1" si="118"/>
        <v>124293</v>
      </c>
      <c r="G713">
        <f t="shared" ca="1" si="119"/>
        <v>12</v>
      </c>
      <c r="H713">
        <f t="shared" ca="1" si="120"/>
        <v>356</v>
      </c>
      <c r="I713" t="str">
        <f t="shared" ca="1" si="121"/>
        <v>Contract-Based</v>
      </c>
      <c r="J713" t="str">
        <f t="shared" ca="1" si="122"/>
        <v>Business</v>
      </c>
      <c r="K713" t="str">
        <f t="shared" ca="1" si="123"/>
        <v>Approved</v>
      </c>
      <c r="L713">
        <f t="shared" si="124"/>
        <v>971</v>
      </c>
      <c r="M713">
        <f t="shared" ca="1" si="125"/>
        <v>612</v>
      </c>
      <c r="N713">
        <f t="shared" ca="1" si="126"/>
        <v>292</v>
      </c>
      <c r="O713" s="2">
        <f t="shared" ca="1" si="127"/>
        <v>0.63027806385169927</v>
      </c>
    </row>
    <row r="714" spans="1:15" x14ac:dyDescent="0.3">
      <c r="A714" s="3" t="s">
        <v>919</v>
      </c>
      <c r="B714" t="str">
        <f t="shared" ca="1" si="114"/>
        <v>Mr. Arun Kumar</v>
      </c>
      <c r="C714">
        <f t="shared" ca="1" si="115"/>
        <v>33</v>
      </c>
      <c r="D714" t="str">
        <f t="shared" ca="1" si="116"/>
        <v>Male</v>
      </c>
      <c r="E714">
        <f t="shared" ca="1" si="117"/>
        <v>1409115</v>
      </c>
      <c r="F714">
        <f t="shared" ca="1" si="118"/>
        <v>1426083</v>
      </c>
      <c r="G714">
        <f t="shared" ca="1" si="119"/>
        <v>60</v>
      </c>
      <c r="H714">
        <f t="shared" ca="1" si="120"/>
        <v>517</v>
      </c>
      <c r="I714" t="str">
        <f t="shared" ca="1" si="121"/>
        <v>Salaried</v>
      </c>
      <c r="J714" t="str">
        <f t="shared" ca="1" si="122"/>
        <v>Business</v>
      </c>
      <c r="K714" t="str">
        <f t="shared" ca="1" si="123"/>
        <v>Approved</v>
      </c>
      <c r="L714">
        <f t="shared" si="124"/>
        <v>971</v>
      </c>
      <c r="M714">
        <f t="shared" ca="1" si="125"/>
        <v>612</v>
      </c>
      <c r="N714">
        <f t="shared" ca="1" si="126"/>
        <v>292</v>
      </c>
      <c r="O714" s="2">
        <f t="shared" ca="1" si="127"/>
        <v>0.63027806385169927</v>
      </c>
    </row>
    <row r="715" spans="1:15" x14ac:dyDescent="0.3">
      <c r="A715" s="3" t="s">
        <v>920</v>
      </c>
      <c r="B715" t="str">
        <f t="shared" ref="B715:B778" ca="1" si="128">CHOOSE(RANDBETWEEN(1,10),
"Mr. Raj Kumar","Ms. Priya Sharma","Mr. Amit Das","Ms. Anjali Singh","Mr. Rohan Gupta",
"Ms. Neha Verma","Mr. Suresh Rao","Ms. Pooja Patel","Mr. Arun Kumar","Ms. Kajal Yadav")</f>
        <v>Ms. Pooja Patel</v>
      </c>
      <c r="C715">
        <f t="shared" ref="C715:C778" ca="1" si="129">RANDBETWEEN(21,65)</f>
        <v>32</v>
      </c>
      <c r="D715" t="str">
        <f t="shared" ref="D715:D778" ca="1" si="130">IF(LEFT(B515,3)="Mr.","Male","Female")</f>
        <v>Female</v>
      </c>
      <c r="E715">
        <f t="shared" ref="E715:E778" ca="1" si="131">RANDBETWEEN(200000,2000000)</f>
        <v>1223616</v>
      </c>
      <c r="F715">
        <f t="shared" ref="F715:F778" ca="1" si="132">RANDBETWEEN(50000,2500000)</f>
        <v>1896715</v>
      </c>
      <c r="G715">
        <f t="shared" ref="G715:G778" ca="1" si="133">CHOOSE(RANDBETWEEN(1,7),12,24,36,48,60,72,84)</f>
        <v>60</v>
      </c>
      <c r="H715">
        <f t="shared" ref="H715:H778" ca="1" si="134">RANDBETWEEN(300,900)</f>
        <v>706</v>
      </c>
      <c r="I715" t="str">
        <f t="shared" ref="I715:I778" ca="1" si="135">CHOOSE(RANDBETWEEN(1,6),
"Salaried","Self-Employed","Business","Freelancer","Student","Contract-Based")</f>
        <v>Business</v>
      </c>
      <c r="J715" t="str">
        <f t="shared" ref="J715:J778" ca="1" si="136">CHOOSE(RANDBETWEEN(1,5),
"Home","Car","Education","Business","Personal")</f>
        <v>Education</v>
      </c>
      <c r="K715" t="str">
        <f t="shared" ref="K715:K778" ca="1" si="137">IF(RANDBETWEEN(1,100)&lt;=70,"Approved","Rejected")</f>
        <v>Rejected</v>
      </c>
      <c r="L715">
        <f t="shared" si="124"/>
        <v>971</v>
      </c>
      <c r="M715">
        <f t="shared" ca="1" si="125"/>
        <v>612</v>
      </c>
      <c r="N715">
        <f t="shared" ca="1" si="126"/>
        <v>292</v>
      </c>
      <c r="O715" s="2">
        <f t="shared" ca="1" si="127"/>
        <v>0.63027806385169927</v>
      </c>
    </row>
    <row r="716" spans="1:15" x14ac:dyDescent="0.3">
      <c r="A716" s="3" t="s">
        <v>921</v>
      </c>
      <c r="B716" t="str">
        <f t="shared" ca="1" si="128"/>
        <v>Mr. Suresh Rao</v>
      </c>
      <c r="C716">
        <f t="shared" ca="1" si="129"/>
        <v>58</v>
      </c>
      <c r="D716" t="str">
        <f t="shared" ca="1" si="130"/>
        <v>Female</v>
      </c>
      <c r="E716">
        <f t="shared" ca="1" si="131"/>
        <v>1607937</v>
      </c>
      <c r="F716">
        <f t="shared" ca="1" si="132"/>
        <v>1642989</v>
      </c>
      <c r="G716">
        <f t="shared" ca="1" si="133"/>
        <v>24</v>
      </c>
      <c r="H716">
        <f t="shared" ca="1" si="134"/>
        <v>349</v>
      </c>
      <c r="I716" t="str">
        <f t="shared" ca="1" si="135"/>
        <v>Business</v>
      </c>
      <c r="J716" t="str">
        <f t="shared" ca="1" si="136"/>
        <v>Car</v>
      </c>
      <c r="K716" t="str">
        <f t="shared" ca="1" si="137"/>
        <v>Approved</v>
      </c>
      <c r="L716">
        <f t="shared" si="124"/>
        <v>971</v>
      </c>
      <c r="M716">
        <f t="shared" ca="1" si="125"/>
        <v>612</v>
      </c>
      <c r="N716">
        <f t="shared" ca="1" si="126"/>
        <v>292</v>
      </c>
      <c r="O716" s="2">
        <f t="shared" ca="1" si="127"/>
        <v>0.63027806385169927</v>
      </c>
    </row>
    <row r="717" spans="1:15" x14ac:dyDescent="0.3">
      <c r="A717" s="3" t="s">
        <v>922</v>
      </c>
      <c r="B717" t="str">
        <f t="shared" ca="1" si="128"/>
        <v>Ms. Anjali Singh</v>
      </c>
      <c r="C717">
        <f t="shared" ca="1" si="129"/>
        <v>63</v>
      </c>
      <c r="D717" t="str">
        <f t="shared" ca="1" si="130"/>
        <v>Male</v>
      </c>
      <c r="E717">
        <f t="shared" ca="1" si="131"/>
        <v>1965500</v>
      </c>
      <c r="F717">
        <f t="shared" ca="1" si="132"/>
        <v>1136686</v>
      </c>
      <c r="G717">
        <f t="shared" ca="1" si="133"/>
        <v>72</v>
      </c>
      <c r="H717">
        <f t="shared" ca="1" si="134"/>
        <v>713</v>
      </c>
      <c r="I717" t="str">
        <f t="shared" ca="1" si="135"/>
        <v>Salaried</v>
      </c>
      <c r="J717" t="str">
        <f t="shared" ca="1" si="136"/>
        <v>Business</v>
      </c>
      <c r="K717" t="str">
        <f t="shared" ca="1" si="137"/>
        <v>Approved</v>
      </c>
      <c r="L717">
        <f t="shared" si="124"/>
        <v>971</v>
      </c>
      <c r="M717">
        <f t="shared" ca="1" si="125"/>
        <v>612</v>
      </c>
      <c r="N717">
        <f t="shared" ca="1" si="126"/>
        <v>292</v>
      </c>
      <c r="O717" s="2">
        <f t="shared" ca="1" si="127"/>
        <v>0.63027806385169927</v>
      </c>
    </row>
    <row r="718" spans="1:15" x14ac:dyDescent="0.3">
      <c r="A718" s="3" t="s">
        <v>923</v>
      </c>
      <c r="B718" t="str">
        <f t="shared" ca="1" si="128"/>
        <v>Ms. Neha Verma</v>
      </c>
      <c r="C718">
        <f t="shared" ca="1" si="129"/>
        <v>45</v>
      </c>
      <c r="D718" t="str">
        <f t="shared" ca="1" si="130"/>
        <v>Male</v>
      </c>
      <c r="E718">
        <f t="shared" ca="1" si="131"/>
        <v>1412642</v>
      </c>
      <c r="F718">
        <f t="shared" ca="1" si="132"/>
        <v>1334055</v>
      </c>
      <c r="G718">
        <f t="shared" ca="1" si="133"/>
        <v>72</v>
      </c>
      <c r="H718">
        <f t="shared" ca="1" si="134"/>
        <v>678</v>
      </c>
      <c r="I718" t="str">
        <f t="shared" ca="1" si="135"/>
        <v>Business</v>
      </c>
      <c r="J718" t="str">
        <f t="shared" ca="1" si="136"/>
        <v>Business</v>
      </c>
      <c r="K718" t="str">
        <f t="shared" ca="1" si="137"/>
        <v>Approved</v>
      </c>
      <c r="L718">
        <f t="shared" si="124"/>
        <v>971</v>
      </c>
      <c r="M718">
        <f t="shared" ca="1" si="125"/>
        <v>612</v>
      </c>
      <c r="N718">
        <f t="shared" ca="1" si="126"/>
        <v>292</v>
      </c>
      <c r="O718" s="2">
        <f t="shared" ca="1" si="127"/>
        <v>0.63027806385169927</v>
      </c>
    </row>
    <row r="719" spans="1:15" x14ac:dyDescent="0.3">
      <c r="A719" s="3" t="s">
        <v>924</v>
      </c>
      <c r="B719" t="str">
        <f t="shared" ca="1" si="128"/>
        <v>Ms. Priya Sharma</v>
      </c>
      <c r="C719">
        <f t="shared" ca="1" si="129"/>
        <v>21</v>
      </c>
      <c r="D719" t="str">
        <f t="shared" ca="1" si="130"/>
        <v>Male</v>
      </c>
      <c r="E719">
        <f t="shared" ca="1" si="131"/>
        <v>688118</v>
      </c>
      <c r="F719">
        <f t="shared" ca="1" si="132"/>
        <v>1496754</v>
      </c>
      <c r="G719">
        <f t="shared" ca="1" si="133"/>
        <v>12</v>
      </c>
      <c r="H719">
        <f t="shared" ca="1" si="134"/>
        <v>404</v>
      </c>
      <c r="I719" t="str">
        <f t="shared" ca="1" si="135"/>
        <v>Freelancer</v>
      </c>
      <c r="J719" t="str">
        <f t="shared" ca="1" si="136"/>
        <v>Personal</v>
      </c>
      <c r="K719" t="str">
        <f t="shared" ca="1" si="137"/>
        <v>Approved</v>
      </c>
      <c r="L719">
        <f t="shared" si="124"/>
        <v>971</v>
      </c>
      <c r="M719">
        <f t="shared" ca="1" si="125"/>
        <v>612</v>
      </c>
      <c r="N719">
        <f t="shared" ca="1" si="126"/>
        <v>292</v>
      </c>
      <c r="O719" s="2">
        <f t="shared" ca="1" si="127"/>
        <v>0.63027806385169927</v>
      </c>
    </row>
    <row r="720" spans="1:15" x14ac:dyDescent="0.3">
      <c r="A720" s="3" t="s">
        <v>925</v>
      </c>
      <c r="B720" t="str">
        <f t="shared" ca="1" si="128"/>
        <v>Mr. Amit Das</v>
      </c>
      <c r="C720">
        <f t="shared" ca="1" si="129"/>
        <v>63</v>
      </c>
      <c r="D720" t="str">
        <f t="shared" ca="1" si="130"/>
        <v>Male</v>
      </c>
      <c r="E720">
        <f t="shared" ca="1" si="131"/>
        <v>835855</v>
      </c>
      <c r="F720">
        <f t="shared" ca="1" si="132"/>
        <v>523589</v>
      </c>
      <c r="G720">
        <f t="shared" ca="1" si="133"/>
        <v>24</v>
      </c>
      <c r="H720">
        <f t="shared" ca="1" si="134"/>
        <v>672</v>
      </c>
      <c r="I720" t="str">
        <f t="shared" ca="1" si="135"/>
        <v>Freelancer</v>
      </c>
      <c r="J720" t="str">
        <f t="shared" ca="1" si="136"/>
        <v>Business</v>
      </c>
      <c r="K720" t="str">
        <f t="shared" ca="1" si="137"/>
        <v>Approved</v>
      </c>
      <c r="L720">
        <f t="shared" si="124"/>
        <v>971</v>
      </c>
      <c r="M720">
        <f t="shared" ca="1" si="125"/>
        <v>612</v>
      </c>
      <c r="N720">
        <f t="shared" ca="1" si="126"/>
        <v>292</v>
      </c>
      <c r="O720" s="2">
        <f t="shared" ca="1" si="127"/>
        <v>0.63027806385169927</v>
      </c>
    </row>
    <row r="721" spans="1:15" x14ac:dyDescent="0.3">
      <c r="A721" s="3" t="s">
        <v>926</v>
      </c>
      <c r="B721" t="str">
        <f t="shared" ca="1" si="128"/>
        <v>Mr. Amit Das</v>
      </c>
      <c r="C721">
        <f t="shared" ca="1" si="129"/>
        <v>52</v>
      </c>
      <c r="D721" t="str">
        <f t="shared" ca="1" si="130"/>
        <v>Female</v>
      </c>
      <c r="E721">
        <f t="shared" ca="1" si="131"/>
        <v>1525910</v>
      </c>
      <c r="F721">
        <f t="shared" ca="1" si="132"/>
        <v>1277957</v>
      </c>
      <c r="G721">
        <f t="shared" ca="1" si="133"/>
        <v>36</v>
      </c>
      <c r="H721">
        <f t="shared" ca="1" si="134"/>
        <v>590</v>
      </c>
      <c r="I721" t="str">
        <f t="shared" ca="1" si="135"/>
        <v>Salaried</v>
      </c>
      <c r="J721" t="str">
        <f t="shared" ca="1" si="136"/>
        <v>Education</v>
      </c>
      <c r="K721" t="str">
        <f t="shared" ca="1" si="137"/>
        <v>Approved</v>
      </c>
      <c r="L721">
        <f t="shared" si="124"/>
        <v>971</v>
      </c>
      <c r="M721">
        <f t="shared" ca="1" si="125"/>
        <v>612</v>
      </c>
      <c r="N721">
        <f t="shared" ca="1" si="126"/>
        <v>292</v>
      </c>
      <c r="O721" s="2">
        <f t="shared" ca="1" si="127"/>
        <v>0.63027806385169927</v>
      </c>
    </row>
    <row r="722" spans="1:15" x14ac:dyDescent="0.3">
      <c r="A722" s="3" t="s">
        <v>927</v>
      </c>
      <c r="B722" t="str">
        <f t="shared" ca="1" si="128"/>
        <v>Mr. Amit Das</v>
      </c>
      <c r="C722">
        <f t="shared" ca="1" si="129"/>
        <v>51</v>
      </c>
      <c r="D722" t="str">
        <f t="shared" ca="1" si="130"/>
        <v>Female</v>
      </c>
      <c r="E722">
        <f t="shared" ca="1" si="131"/>
        <v>538762</v>
      </c>
      <c r="F722">
        <f t="shared" ca="1" si="132"/>
        <v>1675391</v>
      </c>
      <c r="G722">
        <f t="shared" ca="1" si="133"/>
        <v>60</v>
      </c>
      <c r="H722">
        <f t="shared" ca="1" si="134"/>
        <v>363</v>
      </c>
      <c r="I722" t="str">
        <f t="shared" ca="1" si="135"/>
        <v>Self-Employed</v>
      </c>
      <c r="J722" t="str">
        <f t="shared" ca="1" si="136"/>
        <v>Business</v>
      </c>
      <c r="K722" t="str">
        <f t="shared" ca="1" si="137"/>
        <v>Approved</v>
      </c>
      <c r="L722">
        <f t="shared" si="124"/>
        <v>971</v>
      </c>
      <c r="M722">
        <f t="shared" ca="1" si="125"/>
        <v>612</v>
      </c>
      <c r="N722">
        <f t="shared" ca="1" si="126"/>
        <v>292</v>
      </c>
      <c r="O722" s="2">
        <f t="shared" ca="1" si="127"/>
        <v>0.63027806385169927</v>
      </c>
    </row>
    <row r="723" spans="1:15" x14ac:dyDescent="0.3">
      <c r="A723" s="3" t="s">
        <v>928</v>
      </c>
      <c r="B723" t="str">
        <f t="shared" ca="1" si="128"/>
        <v>Ms. Priya Sharma</v>
      </c>
      <c r="C723">
        <f t="shared" ca="1" si="129"/>
        <v>58</v>
      </c>
      <c r="D723" t="str">
        <f t="shared" ca="1" si="130"/>
        <v>Female</v>
      </c>
      <c r="E723">
        <f t="shared" ca="1" si="131"/>
        <v>1292288</v>
      </c>
      <c r="F723">
        <f t="shared" ca="1" si="132"/>
        <v>1806004</v>
      </c>
      <c r="G723">
        <f t="shared" ca="1" si="133"/>
        <v>12</v>
      </c>
      <c r="H723">
        <f t="shared" ca="1" si="134"/>
        <v>367</v>
      </c>
      <c r="I723" t="str">
        <f t="shared" ca="1" si="135"/>
        <v>Student</v>
      </c>
      <c r="J723" t="str">
        <f t="shared" ca="1" si="136"/>
        <v>Car</v>
      </c>
      <c r="K723" t="str">
        <f t="shared" ca="1" si="137"/>
        <v>Rejected</v>
      </c>
      <c r="L723">
        <f t="shared" si="124"/>
        <v>971</v>
      </c>
      <c r="M723">
        <f t="shared" ca="1" si="125"/>
        <v>612</v>
      </c>
      <c r="N723">
        <f t="shared" ca="1" si="126"/>
        <v>292</v>
      </c>
      <c r="O723" s="2">
        <f t="shared" ca="1" si="127"/>
        <v>0.63027806385169927</v>
      </c>
    </row>
    <row r="724" spans="1:15" x14ac:dyDescent="0.3">
      <c r="A724" s="3" t="s">
        <v>929</v>
      </c>
      <c r="B724" t="str">
        <f t="shared" ca="1" si="128"/>
        <v>Mr. Amit Das</v>
      </c>
      <c r="C724">
        <f t="shared" ca="1" si="129"/>
        <v>22</v>
      </c>
      <c r="D724" t="str">
        <f t="shared" ca="1" si="130"/>
        <v>Female</v>
      </c>
      <c r="E724">
        <f t="shared" ca="1" si="131"/>
        <v>874586</v>
      </c>
      <c r="F724">
        <f t="shared" ca="1" si="132"/>
        <v>951846</v>
      </c>
      <c r="G724">
        <f t="shared" ca="1" si="133"/>
        <v>60</v>
      </c>
      <c r="H724">
        <f t="shared" ca="1" si="134"/>
        <v>805</v>
      </c>
      <c r="I724" t="str">
        <f t="shared" ca="1" si="135"/>
        <v>Business</v>
      </c>
      <c r="J724" t="str">
        <f t="shared" ca="1" si="136"/>
        <v>Home</v>
      </c>
      <c r="K724" t="str">
        <f t="shared" ca="1" si="137"/>
        <v>Approved</v>
      </c>
      <c r="L724">
        <f t="shared" si="124"/>
        <v>971</v>
      </c>
      <c r="M724">
        <f t="shared" ca="1" si="125"/>
        <v>612</v>
      </c>
      <c r="N724">
        <f t="shared" ca="1" si="126"/>
        <v>292</v>
      </c>
      <c r="O724" s="2">
        <f t="shared" ca="1" si="127"/>
        <v>0.63027806385169927</v>
      </c>
    </row>
    <row r="725" spans="1:15" x14ac:dyDescent="0.3">
      <c r="A725" s="3" t="s">
        <v>930</v>
      </c>
      <c r="B725" t="str">
        <f t="shared" ca="1" si="128"/>
        <v>Mr. Amit Das</v>
      </c>
      <c r="C725">
        <f t="shared" ca="1" si="129"/>
        <v>44</v>
      </c>
      <c r="D725" t="str">
        <f t="shared" ca="1" si="130"/>
        <v>Female</v>
      </c>
      <c r="E725">
        <f t="shared" ca="1" si="131"/>
        <v>376265</v>
      </c>
      <c r="F725">
        <f t="shared" ca="1" si="132"/>
        <v>1145372</v>
      </c>
      <c r="G725">
        <f t="shared" ca="1" si="133"/>
        <v>84</v>
      </c>
      <c r="H725">
        <f t="shared" ca="1" si="134"/>
        <v>613</v>
      </c>
      <c r="I725" t="str">
        <f t="shared" ca="1" si="135"/>
        <v>Student</v>
      </c>
      <c r="J725" t="str">
        <f t="shared" ca="1" si="136"/>
        <v>Business</v>
      </c>
      <c r="K725" t="str">
        <f t="shared" ca="1" si="137"/>
        <v>Approved</v>
      </c>
      <c r="L725">
        <f t="shared" si="124"/>
        <v>971</v>
      </c>
      <c r="M725">
        <f t="shared" ca="1" si="125"/>
        <v>612</v>
      </c>
      <c r="N725">
        <f t="shared" ca="1" si="126"/>
        <v>292</v>
      </c>
      <c r="O725" s="2">
        <f t="shared" ca="1" si="127"/>
        <v>0.63027806385169927</v>
      </c>
    </row>
    <row r="726" spans="1:15" x14ac:dyDescent="0.3">
      <c r="A726" s="3" t="s">
        <v>931</v>
      </c>
      <c r="B726" t="str">
        <f t="shared" ca="1" si="128"/>
        <v>Mr. Amit Das</v>
      </c>
      <c r="C726">
        <f t="shared" ca="1" si="129"/>
        <v>44</v>
      </c>
      <c r="D726" t="str">
        <f t="shared" ca="1" si="130"/>
        <v>Male</v>
      </c>
      <c r="E726">
        <f t="shared" ca="1" si="131"/>
        <v>1642657</v>
      </c>
      <c r="F726">
        <f t="shared" ca="1" si="132"/>
        <v>214594</v>
      </c>
      <c r="G726">
        <f t="shared" ca="1" si="133"/>
        <v>36</v>
      </c>
      <c r="H726">
        <f t="shared" ca="1" si="134"/>
        <v>791</v>
      </c>
      <c r="I726" t="str">
        <f t="shared" ca="1" si="135"/>
        <v>Freelancer</v>
      </c>
      <c r="J726" t="str">
        <f t="shared" ca="1" si="136"/>
        <v>Car</v>
      </c>
      <c r="K726" t="str">
        <f t="shared" ca="1" si="137"/>
        <v>Approved</v>
      </c>
      <c r="L726">
        <f t="shared" si="124"/>
        <v>971</v>
      </c>
      <c r="M726">
        <f t="shared" ca="1" si="125"/>
        <v>612</v>
      </c>
      <c r="N726">
        <f t="shared" ca="1" si="126"/>
        <v>292</v>
      </c>
      <c r="O726" s="2">
        <f t="shared" ca="1" si="127"/>
        <v>0.63027806385169927</v>
      </c>
    </row>
    <row r="727" spans="1:15" x14ac:dyDescent="0.3">
      <c r="A727" s="3" t="s">
        <v>932</v>
      </c>
      <c r="B727" t="str">
        <f t="shared" ca="1" si="128"/>
        <v>Ms. Neha Verma</v>
      </c>
      <c r="C727">
        <f t="shared" ca="1" si="129"/>
        <v>63</v>
      </c>
      <c r="D727" t="str">
        <f t="shared" ca="1" si="130"/>
        <v>Male</v>
      </c>
      <c r="E727">
        <f t="shared" ca="1" si="131"/>
        <v>1510241</v>
      </c>
      <c r="F727">
        <f t="shared" ca="1" si="132"/>
        <v>2035076</v>
      </c>
      <c r="G727">
        <f t="shared" ca="1" si="133"/>
        <v>48</v>
      </c>
      <c r="H727">
        <f t="shared" ca="1" si="134"/>
        <v>847</v>
      </c>
      <c r="I727" t="str">
        <f t="shared" ca="1" si="135"/>
        <v>Salaried</v>
      </c>
      <c r="J727" t="str">
        <f t="shared" ca="1" si="136"/>
        <v>Personal</v>
      </c>
      <c r="K727" t="str">
        <f t="shared" ca="1" si="137"/>
        <v>Rejected</v>
      </c>
      <c r="L727">
        <f t="shared" si="124"/>
        <v>971</v>
      </c>
      <c r="M727">
        <f t="shared" ca="1" si="125"/>
        <v>612</v>
      </c>
      <c r="N727">
        <f t="shared" ca="1" si="126"/>
        <v>292</v>
      </c>
      <c r="O727" s="2">
        <f t="shared" ca="1" si="127"/>
        <v>0.63027806385169927</v>
      </c>
    </row>
    <row r="728" spans="1:15" x14ac:dyDescent="0.3">
      <c r="A728" s="3" t="s">
        <v>933</v>
      </c>
      <c r="B728" t="str">
        <f t="shared" ca="1" si="128"/>
        <v>Mr. Rohan Gupta</v>
      </c>
      <c r="C728">
        <f t="shared" ca="1" si="129"/>
        <v>64</v>
      </c>
      <c r="D728" t="str">
        <f t="shared" ca="1" si="130"/>
        <v>Male</v>
      </c>
      <c r="E728">
        <f t="shared" ca="1" si="131"/>
        <v>296989</v>
      </c>
      <c r="F728">
        <f t="shared" ca="1" si="132"/>
        <v>2245241</v>
      </c>
      <c r="G728">
        <f t="shared" ca="1" si="133"/>
        <v>60</v>
      </c>
      <c r="H728">
        <f t="shared" ca="1" si="134"/>
        <v>600</v>
      </c>
      <c r="I728" t="str">
        <f t="shared" ca="1" si="135"/>
        <v>Student</v>
      </c>
      <c r="J728" t="str">
        <f t="shared" ca="1" si="136"/>
        <v>Education</v>
      </c>
      <c r="K728" t="str">
        <f t="shared" ca="1" si="137"/>
        <v>Approved</v>
      </c>
      <c r="L728">
        <f t="shared" si="124"/>
        <v>971</v>
      </c>
      <c r="M728">
        <f t="shared" ca="1" si="125"/>
        <v>612</v>
      </c>
      <c r="N728">
        <f t="shared" ca="1" si="126"/>
        <v>292</v>
      </c>
      <c r="O728" s="2">
        <f t="shared" ca="1" si="127"/>
        <v>0.63027806385169927</v>
      </c>
    </row>
    <row r="729" spans="1:15" x14ac:dyDescent="0.3">
      <c r="A729" s="3" t="s">
        <v>934</v>
      </c>
      <c r="B729" t="str">
        <f t="shared" ca="1" si="128"/>
        <v>Ms. Priya Sharma</v>
      </c>
      <c r="C729">
        <f t="shared" ca="1" si="129"/>
        <v>46</v>
      </c>
      <c r="D729" t="str">
        <f t="shared" ca="1" si="130"/>
        <v>Male</v>
      </c>
      <c r="E729">
        <f t="shared" ca="1" si="131"/>
        <v>923725</v>
      </c>
      <c r="F729">
        <f t="shared" ca="1" si="132"/>
        <v>436946</v>
      </c>
      <c r="G729">
        <f t="shared" ca="1" si="133"/>
        <v>60</v>
      </c>
      <c r="H729">
        <f t="shared" ca="1" si="134"/>
        <v>458</v>
      </c>
      <c r="I729" t="str">
        <f t="shared" ca="1" si="135"/>
        <v>Freelancer</v>
      </c>
      <c r="J729" t="str">
        <f t="shared" ca="1" si="136"/>
        <v>Car</v>
      </c>
      <c r="K729" t="str">
        <f t="shared" ca="1" si="137"/>
        <v>Rejected</v>
      </c>
      <c r="L729">
        <f t="shared" si="124"/>
        <v>971</v>
      </c>
      <c r="M729">
        <f t="shared" ca="1" si="125"/>
        <v>612</v>
      </c>
      <c r="N729">
        <f t="shared" ca="1" si="126"/>
        <v>292</v>
      </c>
      <c r="O729" s="2">
        <f t="shared" ca="1" si="127"/>
        <v>0.63027806385169927</v>
      </c>
    </row>
    <row r="730" spans="1:15" x14ac:dyDescent="0.3">
      <c r="A730" s="3" t="s">
        <v>935</v>
      </c>
      <c r="B730" t="str">
        <f t="shared" ca="1" si="128"/>
        <v>Ms. Pooja Patel</v>
      </c>
      <c r="C730">
        <f t="shared" ca="1" si="129"/>
        <v>30</v>
      </c>
      <c r="D730" t="str">
        <f t="shared" ca="1" si="130"/>
        <v>Female</v>
      </c>
      <c r="E730">
        <f t="shared" ca="1" si="131"/>
        <v>1075277</v>
      </c>
      <c r="F730">
        <f t="shared" ca="1" si="132"/>
        <v>1833307</v>
      </c>
      <c r="G730">
        <f t="shared" ca="1" si="133"/>
        <v>48</v>
      </c>
      <c r="H730">
        <f t="shared" ca="1" si="134"/>
        <v>387</v>
      </c>
      <c r="I730" t="str">
        <f t="shared" ca="1" si="135"/>
        <v>Self-Employed</v>
      </c>
      <c r="J730" t="str">
        <f t="shared" ca="1" si="136"/>
        <v>Business</v>
      </c>
      <c r="K730" t="str">
        <f t="shared" ca="1" si="137"/>
        <v>Approved</v>
      </c>
      <c r="L730">
        <f t="shared" si="124"/>
        <v>971</v>
      </c>
      <c r="M730">
        <f t="shared" ca="1" si="125"/>
        <v>612</v>
      </c>
      <c r="N730">
        <f t="shared" ca="1" si="126"/>
        <v>292</v>
      </c>
      <c r="O730" s="2">
        <f t="shared" ca="1" si="127"/>
        <v>0.63027806385169927</v>
      </c>
    </row>
    <row r="731" spans="1:15" x14ac:dyDescent="0.3">
      <c r="A731" s="3" t="s">
        <v>936</v>
      </c>
      <c r="B731" t="str">
        <f t="shared" ca="1" si="128"/>
        <v>Mr. Arun Kumar</v>
      </c>
      <c r="C731">
        <f t="shared" ca="1" si="129"/>
        <v>35</v>
      </c>
      <c r="D731" t="str">
        <f t="shared" ca="1" si="130"/>
        <v>Female</v>
      </c>
      <c r="E731">
        <f t="shared" ca="1" si="131"/>
        <v>809616</v>
      </c>
      <c r="F731">
        <f t="shared" ca="1" si="132"/>
        <v>1740479</v>
      </c>
      <c r="G731">
        <f t="shared" ca="1" si="133"/>
        <v>36</v>
      </c>
      <c r="H731">
        <f t="shared" ca="1" si="134"/>
        <v>660</v>
      </c>
      <c r="I731" t="str">
        <f t="shared" ca="1" si="135"/>
        <v>Contract-Based</v>
      </c>
      <c r="J731" t="str">
        <f t="shared" ca="1" si="136"/>
        <v>Personal</v>
      </c>
      <c r="K731" t="str">
        <f t="shared" ca="1" si="137"/>
        <v>Approved</v>
      </c>
      <c r="L731">
        <f t="shared" si="124"/>
        <v>971</v>
      </c>
      <c r="M731">
        <f t="shared" ca="1" si="125"/>
        <v>612</v>
      </c>
      <c r="N731">
        <f t="shared" ca="1" si="126"/>
        <v>292</v>
      </c>
      <c r="O731" s="2">
        <f t="shared" ca="1" si="127"/>
        <v>0.63027806385169927</v>
      </c>
    </row>
    <row r="732" spans="1:15" x14ac:dyDescent="0.3">
      <c r="A732" s="3" t="s">
        <v>937</v>
      </c>
      <c r="B732" t="str">
        <f t="shared" ca="1" si="128"/>
        <v>Mr. Amit Das</v>
      </c>
      <c r="C732">
        <f t="shared" ca="1" si="129"/>
        <v>39</v>
      </c>
      <c r="D732" t="str">
        <f t="shared" ca="1" si="130"/>
        <v>Female</v>
      </c>
      <c r="E732">
        <f t="shared" ca="1" si="131"/>
        <v>659476</v>
      </c>
      <c r="F732">
        <f t="shared" ca="1" si="132"/>
        <v>2437044</v>
      </c>
      <c r="G732">
        <f t="shared" ca="1" si="133"/>
        <v>60</v>
      </c>
      <c r="H732">
        <f t="shared" ca="1" si="134"/>
        <v>451</v>
      </c>
      <c r="I732" t="str">
        <f t="shared" ca="1" si="135"/>
        <v>Freelancer</v>
      </c>
      <c r="J732" t="str">
        <f t="shared" ca="1" si="136"/>
        <v>Personal</v>
      </c>
      <c r="K732" t="str">
        <f t="shared" ca="1" si="137"/>
        <v>Approved</v>
      </c>
      <c r="L732">
        <f t="shared" si="124"/>
        <v>971</v>
      </c>
      <c r="M732">
        <f t="shared" ca="1" si="125"/>
        <v>612</v>
      </c>
      <c r="N732">
        <f t="shared" ca="1" si="126"/>
        <v>292</v>
      </c>
      <c r="O732" s="2">
        <f t="shared" ca="1" si="127"/>
        <v>0.63027806385169927</v>
      </c>
    </row>
    <row r="733" spans="1:15" x14ac:dyDescent="0.3">
      <c r="A733" s="3" t="s">
        <v>938</v>
      </c>
      <c r="B733" t="str">
        <f t="shared" ca="1" si="128"/>
        <v>Mr. Amit Das</v>
      </c>
      <c r="C733">
        <f t="shared" ca="1" si="129"/>
        <v>29</v>
      </c>
      <c r="D733" t="str">
        <f t="shared" ca="1" si="130"/>
        <v>Male</v>
      </c>
      <c r="E733">
        <f t="shared" ca="1" si="131"/>
        <v>1673978</v>
      </c>
      <c r="F733">
        <f t="shared" ca="1" si="132"/>
        <v>142108</v>
      </c>
      <c r="G733">
        <f t="shared" ca="1" si="133"/>
        <v>12</v>
      </c>
      <c r="H733">
        <f t="shared" ca="1" si="134"/>
        <v>886</v>
      </c>
      <c r="I733" t="str">
        <f t="shared" ca="1" si="135"/>
        <v>Contract-Based</v>
      </c>
      <c r="J733" t="str">
        <f t="shared" ca="1" si="136"/>
        <v>Car</v>
      </c>
      <c r="K733" t="str">
        <f t="shared" ca="1" si="137"/>
        <v>Approved</v>
      </c>
      <c r="L733">
        <f t="shared" si="124"/>
        <v>971</v>
      </c>
      <c r="M733">
        <f t="shared" ca="1" si="125"/>
        <v>612</v>
      </c>
      <c r="N733">
        <f t="shared" ca="1" si="126"/>
        <v>292</v>
      </c>
      <c r="O733" s="2">
        <f t="shared" ca="1" si="127"/>
        <v>0.63027806385169927</v>
      </c>
    </row>
    <row r="734" spans="1:15" x14ac:dyDescent="0.3">
      <c r="A734" s="3" t="s">
        <v>939</v>
      </c>
      <c r="B734" t="str">
        <f t="shared" ca="1" si="128"/>
        <v>Ms. Kajal Yadav</v>
      </c>
      <c r="C734">
        <f t="shared" ca="1" si="129"/>
        <v>44</v>
      </c>
      <c r="D734" t="str">
        <f t="shared" ca="1" si="130"/>
        <v>Male</v>
      </c>
      <c r="E734">
        <f t="shared" ca="1" si="131"/>
        <v>1818329</v>
      </c>
      <c r="F734">
        <f t="shared" ca="1" si="132"/>
        <v>185008</v>
      </c>
      <c r="G734">
        <f t="shared" ca="1" si="133"/>
        <v>24</v>
      </c>
      <c r="H734">
        <f t="shared" ca="1" si="134"/>
        <v>385</v>
      </c>
      <c r="I734" t="str">
        <f t="shared" ca="1" si="135"/>
        <v>Contract-Based</v>
      </c>
      <c r="J734" t="str">
        <f t="shared" ca="1" si="136"/>
        <v>Home</v>
      </c>
      <c r="K734" t="str">
        <f t="shared" ca="1" si="137"/>
        <v>Approved</v>
      </c>
      <c r="L734">
        <f t="shared" si="124"/>
        <v>971</v>
      </c>
      <c r="M734">
        <f t="shared" ca="1" si="125"/>
        <v>612</v>
      </c>
      <c r="N734">
        <f t="shared" ca="1" si="126"/>
        <v>292</v>
      </c>
      <c r="O734" s="2">
        <f t="shared" ca="1" si="127"/>
        <v>0.63027806385169927</v>
      </c>
    </row>
    <row r="735" spans="1:15" x14ac:dyDescent="0.3">
      <c r="A735" s="3" t="s">
        <v>940</v>
      </c>
      <c r="B735" t="str">
        <f t="shared" ca="1" si="128"/>
        <v>Mr. Amit Das</v>
      </c>
      <c r="C735">
        <f t="shared" ca="1" si="129"/>
        <v>24</v>
      </c>
      <c r="D735" t="str">
        <f t="shared" ca="1" si="130"/>
        <v>Male</v>
      </c>
      <c r="E735">
        <f t="shared" ca="1" si="131"/>
        <v>478830</v>
      </c>
      <c r="F735">
        <f t="shared" ca="1" si="132"/>
        <v>672325</v>
      </c>
      <c r="G735">
        <f t="shared" ca="1" si="133"/>
        <v>72</v>
      </c>
      <c r="H735">
        <f t="shared" ca="1" si="134"/>
        <v>471</v>
      </c>
      <c r="I735" t="str">
        <f t="shared" ca="1" si="135"/>
        <v>Freelancer</v>
      </c>
      <c r="J735" t="str">
        <f t="shared" ca="1" si="136"/>
        <v>Personal</v>
      </c>
      <c r="K735" t="str">
        <f t="shared" ca="1" si="137"/>
        <v>Approved</v>
      </c>
      <c r="L735">
        <f t="shared" si="124"/>
        <v>971</v>
      </c>
      <c r="M735">
        <f t="shared" ca="1" si="125"/>
        <v>612</v>
      </c>
      <c r="N735">
        <f t="shared" ca="1" si="126"/>
        <v>292</v>
      </c>
      <c r="O735" s="2">
        <f t="shared" ca="1" si="127"/>
        <v>0.63027806385169927</v>
      </c>
    </row>
    <row r="736" spans="1:15" x14ac:dyDescent="0.3">
      <c r="A736" s="3" t="s">
        <v>941</v>
      </c>
      <c r="B736" t="str">
        <f t="shared" ca="1" si="128"/>
        <v>Mr. Raj Kumar</v>
      </c>
      <c r="C736">
        <f t="shared" ca="1" si="129"/>
        <v>55</v>
      </c>
      <c r="D736" t="str">
        <f t="shared" ca="1" si="130"/>
        <v>Male</v>
      </c>
      <c r="E736">
        <f t="shared" ca="1" si="131"/>
        <v>565402</v>
      </c>
      <c r="F736">
        <f t="shared" ca="1" si="132"/>
        <v>2165772</v>
      </c>
      <c r="G736">
        <f t="shared" ca="1" si="133"/>
        <v>12</v>
      </c>
      <c r="H736">
        <f t="shared" ca="1" si="134"/>
        <v>682</v>
      </c>
      <c r="I736" t="str">
        <f t="shared" ca="1" si="135"/>
        <v>Business</v>
      </c>
      <c r="J736" t="str">
        <f t="shared" ca="1" si="136"/>
        <v>Home</v>
      </c>
      <c r="K736" t="str">
        <f t="shared" ca="1" si="137"/>
        <v>Approved</v>
      </c>
      <c r="L736">
        <f t="shared" si="124"/>
        <v>971</v>
      </c>
      <c r="M736">
        <f t="shared" ca="1" si="125"/>
        <v>612</v>
      </c>
      <c r="N736">
        <f t="shared" ca="1" si="126"/>
        <v>292</v>
      </c>
      <c r="O736" s="2">
        <f t="shared" ca="1" si="127"/>
        <v>0.63027806385169927</v>
      </c>
    </row>
    <row r="737" spans="1:15" x14ac:dyDescent="0.3">
      <c r="A737" s="3" t="s">
        <v>942</v>
      </c>
      <c r="B737" t="str">
        <f t="shared" ca="1" si="128"/>
        <v>Mr. Rohan Gupta</v>
      </c>
      <c r="C737">
        <f t="shared" ca="1" si="129"/>
        <v>33</v>
      </c>
      <c r="D737" t="str">
        <f t="shared" ca="1" si="130"/>
        <v>Male</v>
      </c>
      <c r="E737">
        <f t="shared" ca="1" si="131"/>
        <v>690430</v>
      </c>
      <c r="F737">
        <f t="shared" ca="1" si="132"/>
        <v>2402849</v>
      </c>
      <c r="G737">
        <f t="shared" ca="1" si="133"/>
        <v>48</v>
      </c>
      <c r="H737">
        <f t="shared" ca="1" si="134"/>
        <v>894</v>
      </c>
      <c r="I737" t="str">
        <f t="shared" ca="1" si="135"/>
        <v>Salaried</v>
      </c>
      <c r="J737" t="str">
        <f t="shared" ca="1" si="136"/>
        <v>Business</v>
      </c>
      <c r="K737" t="str">
        <f t="shared" ca="1" si="137"/>
        <v>Approved</v>
      </c>
      <c r="L737">
        <f t="shared" si="124"/>
        <v>971</v>
      </c>
      <c r="M737">
        <f t="shared" ca="1" si="125"/>
        <v>612</v>
      </c>
      <c r="N737">
        <f t="shared" ca="1" si="126"/>
        <v>292</v>
      </c>
      <c r="O737" s="2">
        <f t="shared" ca="1" si="127"/>
        <v>0.63027806385169927</v>
      </c>
    </row>
    <row r="738" spans="1:15" x14ac:dyDescent="0.3">
      <c r="A738" s="3" t="s">
        <v>943</v>
      </c>
      <c r="B738" t="str">
        <f t="shared" ca="1" si="128"/>
        <v>Ms. Anjali Singh</v>
      </c>
      <c r="C738">
        <f t="shared" ca="1" si="129"/>
        <v>58</v>
      </c>
      <c r="D738" t="str">
        <f t="shared" ca="1" si="130"/>
        <v>Male</v>
      </c>
      <c r="E738">
        <f t="shared" ca="1" si="131"/>
        <v>1028496</v>
      </c>
      <c r="F738">
        <f t="shared" ca="1" si="132"/>
        <v>873806</v>
      </c>
      <c r="G738">
        <f t="shared" ca="1" si="133"/>
        <v>24</v>
      </c>
      <c r="H738">
        <f t="shared" ca="1" si="134"/>
        <v>700</v>
      </c>
      <c r="I738" t="str">
        <f t="shared" ca="1" si="135"/>
        <v>Contract-Based</v>
      </c>
      <c r="J738" t="str">
        <f t="shared" ca="1" si="136"/>
        <v>Car</v>
      </c>
      <c r="K738" t="str">
        <f t="shared" ca="1" si="137"/>
        <v>Approved</v>
      </c>
      <c r="L738">
        <f t="shared" si="124"/>
        <v>971</v>
      </c>
      <c r="M738">
        <f t="shared" ca="1" si="125"/>
        <v>612</v>
      </c>
      <c r="N738">
        <f t="shared" ca="1" si="126"/>
        <v>292</v>
      </c>
      <c r="O738" s="2">
        <f t="shared" ca="1" si="127"/>
        <v>0.63027806385169927</v>
      </c>
    </row>
    <row r="739" spans="1:15" x14ac:dyDescent="0.3">
      <c r="A739" s="3" t="s">
        <v>944</v>
      </c>
      <c r="B739" t="str">
        <f t="shared" ca="1" si="128"/>
        <v>Ms. Neha Verma</v>
      </c>
      <c r="C739">
        <f t="shared" ca="1" si="129"/>
        <v>57</v>
      </c>
      <c r="D739" t="str">
        <f t="shared" ca="1" si="130"/>
        <v>Male</v>
      </c>
      <c r="E739">
        <f t="shared" ca="1" si="131"/>
        <v>1135981</v>
      </c>
      <c r="F739">
        <f t="shared" ca="1" si="132"/>
        <v>2426846</v>
      </c>
      <c r="G739">
        <f t="shared" ca="1" si="133"/>
        <v>12</v>
      </c>
      <c r="H739">
        <f t="shared" ca="1" si="134"/>
        <v>745</v>
      </c>
      <c r="I739" t="str">
        <f t="shared" ca="1" si="135"/>
        <v>Self-Employed</v>
      </c>
      <c r="J739" t="str">
        <f t="shared" ca="1" si="136"/>
        <v>Car</v>
      </c>
      <c r="K739" t="str">
        <f t="shared" ca="1" si="137"/>
        <v>Rejected</v>
      </c>
      <c r="L739">
        <f t="shared" si="124"/>
        <v>971</v>
      </c>
      <c r="M739">
        <f t="shared" ca="1" si="125"/>
        <v>612</v>
      </c>
      <c r="N739">
        <f t="shared" ca="1" si="126"/>
        <v>292</v>
      </c>
      <c r="O739" s="2">
        <f t="shared" ca="1" si="127"/>
        <v>0.63027806385169927</v>
      </c>
    </row>
    <row r="740" spans="1:15" x14ac:dyDescent="0.3">
      <c r="A740" s="3" t="s">
        <v>945</v>
      </c>
      <c r="B740" t="str">
        <f t="shared" ca="1" si="128"/>
        <v>Mr. Rohan Gupta</v>
      </c>
      <c r="C740">
        <f t="shared" ca="1" si="129"/>
        <v>34</v>
      </c>
      <c r="D740" t="str">
        <f t="shared" ca="1" si="130"/>
        <v>Male</v>
      </c>
      <c r="E740">
        <f t="shared" ca="1" si="131"/>
        <v>1389621</v>
      </c>
      <c r="F740">
        <f t="shared" ca="1" si="132"/>
        <v>1206958</v>
      </c>
      <c r="G740">
        <f t="shared" ca="1" si="133"/>
        <v>24</v>
      </c>
      <c r="H740">
        <f t="shared" ca="1" si="134"/>
        <v>879</v>
      </c>
      <c r="I740" t="str">
        <f t="shared" ca="1" si="135"/>
        <v>Contract-Based</v>
      </c>
      <c r="J740" t="str">
        <f t="shared" ca="1" si="136"/>
        <v>Personal</v>
      </c>
      <c r="K740" t="str">
        <f t="shared" ca="1" si="137"/>
        <v>Rejected</v>
      </c>
      <c r="L740">
        <f t="shared" si="124"/>
        <v>971</v>
      </c>
      <c r="M740">
        <f t="shared" ca="1" si="125"/>
        <v>612</v>
      </c>
      <c r="N740">
        <f t="shared" ca="1" si="126"/>
        <v>292</v>
      </c>
      <c r="O740" s="2">
        <f t="shared" ca="1" si="127"/>
        <v>0.63027806385169927</v>
      </c>
    </row>
    <row r="741" spans="1:15" x14ac:dyDescent="0.3">
      <c r="A741" s="3" t="s">
        <v>946</v>
      </c>
      <c r="B741" t="str">
        <f t="shared" ca="1" si="128"/>
        <v>Ms. Kajal Yadav</v>
      </c>
      <c r="C741">
        <f t="shared" ca="1" si="129"/>
        <v>23</v>
      </c>
      <c r="D741" t="str">
        <f t="shared" ca="1" si="130"/>
        <v>Male</v>
      </c>
      <c r="E741">
        <f t="shared" ca="1" si="131"/>
        <v>1669563</v>
      </c>
      <c r="F741">
        <f t="shared" ca="1" si="132"/>
        <v>329410</v>
      </c>
      <c r="G741">
        <f t="shared" ca="1" si="133"/>
        <v>36</v>
      </c>
      <c r="H741">
        <f t="shared" ca="1" si="134"/>
        <v>459</v>
      </c>
      <c r="I741" t="str">
        <f t="shared" ca="1" si="135"/>
        <v>Contract-Based</v>
      </c>
      <c r="J741" t="str">
        <f t="shared" ca="1" si="136"/>
        <v>Education</v>
      </c>
      <c r="K741" t="str">
        <f t="shared" ca="1" si="137"/>
        <v>Approved</v>
      </c>
      <c r="L741">
        <f t="shared" si="124"/>
        <v>971</v>
      </c>
      <c r="M741">
        <f t="shared" ca="1" si="125"/>
        <v>612</v>
      </c>
      <c r="N741">
        <f t="shared" ca="1" si="126"/>
        <v>292</v>
      </c>
      <c r="O741" s="2">
        <f t="shared" ca="1" si="127"/>
        <v>0.63027806385169927</v>
      </c>
    </row>
    <row r="742" spans="1:15" x14ac:dyDescent="0.3">
      <c r="A742" s="3" t="s">
        <v>947</v>
      </c>
      <c r="B742" t="str">
        <f t="shared" ca="1" si="128"/>
        <v>Ms. Kajal Yadav</v>
      </c>
      <c r="C742">
        <f t="shared" ca="1" si="129"/>
        <v>42</v>
      </c>
      <c r="D742" t="str">
        <f t="shared" ca="1" si="130"/>
        <v>Male</v>
      </c>
      <c r="E742">
        <f t="shared" ca="1" si="131"/>
        <v>1192933</v>
      </c>
      <c r="F742">
        <f t="shared" ca="1" si="132"/>
        <v>2379962</v>
      </c>
      <c r="G742">
        <f t="shared" ca="1" si="133"/>
        <v>84</v>
      </c>
      <c r="H742">
        <f t="shared" ca="1" si="134"/>
        <v>597</v>
      </c>
      <c r="I742" t="str">
        <f t="shared" ca="1" si="135"/>
        <v>Business</v>
      </c>
      <c r="J742" t="str">
        <f t="shared" ca="1" si="136"/>
        <v>Personal</v>
      </c>
      <c r="K742" t="str">
        <f t="shared" ca="1" si="137"/>
        <v>Rejected</v>
      </c>
      <c r="L742">
        <f t="shared" si="124"/>
        <v>971</v>
      </c>
      <c r="M742">
        <f t="shared" ca="1" si="125"/>
        <v>612</v>
      </c>
      <c r="N742">
        <f t="shared" ca="1" si="126"/>
        <v>292</v>
      </c>
      <c r="O742" s="2">
        <f t="shared" ca="1" si="127"/>
        <v>0.63027806385169927</v>
      </c>
    </row>
    <row r="743" spans="1:15" x14ac:dyDescent="0.3">
      <c r="A743" s="3" t="s">
        <v>948</v>
      </c>
      <c r="B743" t="str">
        <f t="shared" ca="1" si="128"/>
        <v>Ms. Anjali Singh</v>
      </c>
      <c r="C743">
        <f t="shared" ca="1" si="129"/>
        <v>64</v>
      </c>
      <c r="D743" t="str">
        <f t="shared" ca="1" si="130"/>
        <v>Male</v>
      </c>
      <c r="E743">
        <f t="shared" ca="1" si="131"/>
        <v>1295009</v>
      </c>
      <c r="F743">
        <f t="shared" ca="1" si="132"/>
        <v>1580092</v>
      </c>
      <c r="G743">
        <f t="shared" ca="1" si="133"/>
        <v>36</v>
      </c>
      <c r="H743">
        <f t="shared" ca="1" si="134"/>
        <v>859</v>
      </c>
      <c r="I743" t="str">
        <f t="shared" ca="1" si="135"/>
        <v>Student</v>
      </c>
      <c r="J743" t="str">
        <f t="shared" ca="1" si="136"/>
        <v>Education</v>
      </c>
      <c r="K743" t="str">
        <f t="shared" ca="1" si="137"/>
        <v>Approved</v>
      </c>
      <c r="L743">
        <f t="shared" si="124"/>
        <v>971</v>
      </c>
      <c r="M743">
        <f t="shared" ca="1" si="125"/>
        <v>612</v>
      </c>
      <c r="N743">
        <f t="shared" ca="1" si="126"/>
        <v>292</v>
      </c>
      <c r="O743" s="2">
        <f t="shared" ca="1" si="127"/>
        <v>0.63027806385169927</v>
      </c>
    </row>
    <row r="744" spans="1:15" x14ac:dyDescent="0.3">
      <c r="A744" s="3" t="s">
        <v>949</v>
      </c>
      <c r="B744" t="str">
        <f t="shared" ca="1" si="128"/>
        <v>Ms. Anjali Singh</v>
      </c>
      <c r="C744">
        <f t="shared" ca="1" si="129"/>
        <v>36</v>
      </c>
      <c r="D744" t="str">
        <f t="shared" ca="1" si="130"/>
        <v>Male</v>
      </c>
      <c r="E744">
        <f t="shared" ca="1" si="131"/>
        <v>949388</v>
      </c>
      <c r="F744">
        <f t="shared" ca="1" si="132"/>
        <v>2278675</v>
      </c>
      <c r="G744">
        <f t="shared" ca="1" si="133"/>
        <v>36</v>
      </c>
      <c r="H744">
        <f t="shared" ca="1" si="134"/>
        <v>873</v>
      </c>
      <c r="I744" t="str">
        <f t="shared" ca="1" si="135"/>
        <v>Salaried</v>
      </c>
      <c r="J744" t="str">
        <f t="shared" ca="1" si="136"/>
        <v>Education</v>
      </c>
      <c r="K744" t="str">
        <f t="shared" ca="1" si="137"/>
        <v>Rejected</v>
      </c>
      <c r="L744">
        <f t="shared" si="124"/>
        <v>971</v>
      </c>
      <c r="M744">
        <f t="shared" ca="1" si="125"/>
        <v>612</v>
      </c>
      <c r="N744">
        <f t="shared" ca="1" si="126"/>
        <v>292</v>
      </c>
      <c r="O744" s="2">
        <f t="shared" ca="1" si="127"/>
        <v>0.63027806385169927</v>
      </c>
    </row>
    <row r="745" spans="1:15" x14ac:dyDescent="0.3">
      <c r="A745" s="3" t="s">
        <v>950</v>
      </c>
      <c r="B745" t="str">
        <f t="shared" ca="1" si="128"/>
        <v>Mr. Raj Kumar</v>
      </c>
      <c r="C745">
        <f t="shared" ca="1" si="129"/>
        <v>53</v>
      </c>
      <c r="D745" t="str">
        <f t="shared" ca="1" si="130"/>
        <v>Male</v>
      </c>
      <c r="E745">
        <f t="shared" ca="1" si="131"/>
        <v>1438388</v>
      </c>
      <c r="F745">
        <f t="shared" ca="1" si="132"/>
        <v>2224658</v>
      </c>
      <c r="G745">
        <f t="shared" ca="1" si="133"/>
        <v>48</v>
      </c>
      <c r="H745">
        <f t="shared" ca="1" si="134"/>
        <v>394</v>
      </c>
      <c r="I745" t="str">
        <f t="shared" ca="1" si="135"/>
        <v>Business</v>
      </c>
      <c r="J745" t="str">
        <f t="shared" ca="1" si="136"/>
        <v>Personal</v>
      </c>
      <c r="K745" t="str">
        <f t="shared" ca="1" si="137"/>
        <v>Approved</v>
      </c>
      <c r="L745">
        <f t="shared" si="124"/>
        <v>971</v>
      </c>
      <c r="M745">
        <f t="shared" ca="1" si="125"/>
        <v>612</v>
      </c>
      <c r="N745">
        <f t="shared" ca="1" si="126"/>
        <v>292</v>
      </c>
      <c r="O745" s="2">
        <f t="shared" ca="1" si="127"/>
        <v>0.63027806385169927</v>
      </c>
    </row>
    <row r="746" spans="1:15" x14ac:dyDescent="0.3">
      <c r="A746" s="3" t="s">
        <v>951</v>
      </c>
      <c r="B746" t="str">
        <f t="shared" ca="1" si="128"/>
        <v>Mr. Suresh Rao</v>
      </c>
      <c r="C746">
        <f t="shared" ca="1" si="129"/>
        <v>50</v>
      </c>
      <c r="D746" t="str">
        <f t="shared" ca="1" si="130"/>
        <v>Male</v>
      </c>
      <c r="E746">
        <f t="shared" ca="1" si="131"/>
        <v>1997759</v>
      </c>
      <c r="F746">
        <f t="shared" ca="1" si="132"/>
        <v>845535</v>
      </c>
      <c r="G746">
        <f t="shared" ca="1" si="133"/>
        <v>24</v>
      </c>
      <c r="H746">
        <f t="shared" ca="1" si="134"/>
        <v>414</v>
      </c>
      <c r="I746" t="str">
        <f t="shared" ca="1" si="135"/>
        <v>Business</v>
      </c>
      <c r="J746" t="str">
        <f t="shared" ca="1" si="136"/>
        <v>Business</v>
      </c>
      <c r="K746" t="str">
        <f t="shared" ca="1" si="137"/>
        <v>Approved</v>
      </c>
      <c r="L746">
        <f t="shared" si="124"/>
        <v>971</v>
      </c>
      <c r="M746">
        <f t="shared" ca="1" si="125"/>
        <v>612</v>
      </c>
      <c r="N746">
        <f t="shared" ca="1" si="126"/>
        <v>292</v>
      </c>
      <c r="O746" s="2">
        <f t="shared" ca="1" si="127"/>
        <v>0.63027806385169927</v>
      </c>
    </row>
    <row r="747" spans="1:15" x14ac:dyDescent="0.3">
      <c r="A747" s="3" t="s">
        <v>952</v>
      </c>
      <c r="B747" t="str">
        <f t="shared" ca="1" si="128"/>
        <v>Ms. Kajal Yadav</v>
      </c>
      <c r="C747">
        <f t="shared" ca="1" si="129"/>
        <v>63</v>
      </c>
      <c r="D747" t="str">
        <f t="shared" ca="1" si="130"/>
        <v>Female</v>
      </c>
      <c r="E747">
        <f t="shared" ca="1" si="131"/>
        <v>1259770</v>
      </c>
      <c r="F747">
        <f t="shared" ca="1" si="132"/>
        <v>1898353</v>
      </c>
      <c r="G747">
        <f t="shared" ca="1" si="133"/>
        <v>72</v>
      </c>
      <c r="H747">
        <f t="shared" ca="1" si="134"/>
        <v>630</v>
      </c>
      <c r="I747" t="str">
        <f t="shared" ca="1" si="135"/>
        <v>Freelancer</v>
      </c>
      <c r="J747" t="str">
        <f t="shared" ca="1" si="136"/>
        <v>Education</v>
      </c>
      <c r="K747" t="str">
        <f t="shared" ca="1" si="137"/>
        <v>Rejected</v>
      </c>
      <c r="L747">
        <f t="shared" si="124"/>
        <v>971</v>
      </c>
      <c r="M747">
        <f t="shared" ca="1" si="125"/>
        <v>612</v>
      </c>
      <c r="N747">
        <f t="shared" ca="1" si="126"/>
        <v>292</v>
      </c>
      <c r="O747" s="2">
        <f t="shared" ca="1" si="127"/>
        <v>0.63027806385169927</v>
      </c>
    </row>
    <row r="748" spans="1:15" x14ac:dyDescent="0.3">
      <c r="A748" s="3" t="s">
        <v>953</v>
      </c>
      <c r="B748" t="str">
        <f t="shared" ca="1" si="128"/>
        <v>Mr. Suresh Rao</v>
      </c>
      <c r="C748">
        <f t="shared" ca="1" si="129"/>
        <v>25</v>
      </c>
      <c r="D748" t="str">
        <f t="shared" ca="1" si="130"/>
        <v>Female</v>
      </c>
      <c r="E748">
        <f t="shared" ca="1" si="131"/>
        <v>670298</v>
      </c>
      <c r="F748">
        <f t="shared" ca="1" si="132"/>
        <v>1676443</v>
      </c>
      <c r="G748">
        <f t="shared" ca="1" si="133"/>
        <v>36</v>
      </c>
      <c r="H748">
        <f t="shared" ca="1" si="134"/>
        <v>617</v>
      </c>
      <c r="I748" t="str">
        <f t="shared" ca="1" si="135"/>
        <v>Business</v>
      </c>
      <c r="J748" t="str">
        <f t="shared" ca="1" si="136"/>
        <v>Car</v>
      </c>
      <c r="K748" t="str">
        <f t="shared" ca="1" si="137"/>
        <v>Approved</v>
      </c>
      <c r="L748">
        <f t="shared" si="124"/>
        <v>971</v>
      </c>
      <c r="M748">
        <f t="shared" ca="1" si="125"/>
        <v>612</v>
      </c>
      <c r="N748">
        <f t="shared" ca="1" si="126"/>
        <v>292</v>
      </c>
      <c r="O748" s="2">
        <f t="shared" ca="1" si="127"/>
        <v>0.63027806385169927</v>
      </c>
    </row>
    <row r="749" spans="1:15" x14ac:dyDescent="0.3">
      <c r="A749" s="3" t="s">
        <v>954</v>
      </c>
      <c r="B749" t="str">
        <f t="shared" ca="1" si="128"/>
        <v>Ms. Pooja Patel</v>
      </c>
      <c r="C749">
        <f t="shared" ca="1" si="129"/>
        <v>53</v>
      </c>
      <c r="D749" t="str">
        <f t="shared" ca="1" si="130"/>
        <v>Male</v>
      </c>
      <c r="E749">
        <f t="shared" ca="1" si="131"/>
        <v>418609</v>
      </c>
      <c r="F749">
        <f t="shared" ca="1" si="132"/>
        <v>603713</v>
      </c>
      <c r="G749">
        <f t="shared" ca="1" si="133"/>
        <v>12</v>
      </c>
      <c r="H749">
        <f t="shared" ca="1" si="134"/>
        <v>324</v>
      </c>
      <c r="I749" t="str">
        <f t="shared" ca="1" si="135"/>
        <v>Salaried</v>
      </c>
      <c r="J749" t="str">
        <f t="shared" ca="1" si="136"/>
        <v>Personal</v>
      </c>
      <c r="K749" t="str">
        <f t="shared" ca="1" si="137"/>
        <v>Approved</v>
      </c>
      <c r="L749">
        <f t="shared" si="124"/>
        <v>971</v>
      </c>
      <c r="M749">
        <f t="shared" ca="1" si="125"/>
        <v>612</v>
      </c>
      <c r="N749">
        <f t="shared" ca="1" si="126"/>
        <v>292</v>
      </c>
      <c r="O749" s="2">
        <f t="shared" ca="1" si="127"/>
        <v>0.63027806385169927</v>
      </c>
    </row>
    <row r="750" spans="1:15" x14ac:dyDescent="0.3">
      <c r="A750" s="3" t="s">
        <v>955</v>
      </c>
      <c r="B750" t="str">
        <f t="shared" ca="1" si="128"/>
        <v>Mr. Arun Kumar</v>
      </c>
      <c r="C750">
        <f t="shared" ca="1" si="129"/>
        <v>33</v>
      </c>
      <c r="D750" t="str">
        <f t="shared" ca="1" si="130"/>
        <v>Female</v>
      </c>
      <c r="E750">
        <f t="shared" ca="1" si="131"/>
        <v>461818</v>
      </c>
      <c r="F750">
        <f t="shared" ca="1" si="132"/>
        <v>634968</v>
      </c>
      <c r="G750">
        <f t="shared" ca="1" si="133"/>
        <v>12</v>
      </c>
      <c r="H750">
        <f t="shared" ca="1" si="134"/>
        <v>384</v>
      </c>
      <c r="I750" t="str">
        <f t="shared" ca="1" si="135"/>
        <v>Business</v>
      </c>
      <c r="J750" t="str">
        <f t="shared" ca="1" si="136"/>
        <v>Personal</v>
      </c>
      <c r="K750" t="str">
        <f t="shared" ca="1" si="137"/>
        <v>Approved</v>
      </c>
      <c r="L750">
        <f t="shared" si="124"/>
        <v>971</v>
      </c>
      <c r="M750">
        <f t="shared" ca="1" si="125"/>
        <v>612</v>
      </c>
      <c r="N750">
        <f t="shared" ca="1" si="126"/>
        <v>292</v>
      </c>
      <c r="O750" s="2">
        <f t="shared" ca="1" si="127"/>
        <v>0.63027806385169927</v>
      </c>
    </row>
    <row r="751" spans="1:15" x14ac:dyDescent="0.3">
      <c r="A751" s="3" t="s">
        <v>956</v>
      </c>
      <c r="B751" t="str">
        <f t="shared" ca="1" si="128"/>
        <v>Mr. Arun Kumar</v>
      </c>
      <c r="C751">
        <f t="shared" ca="1" si="129"/>
        <v>43</v>
      </c>
      <c r="D751" t="str">
        <f t="shared" ca="1" si="130"/>
        <v>Female</v>
      </c>
      <c r="E751">
        <f t="shared" ca="1" si="131"/>
        <v>1000851</v>
      </c>
      <c r="F751">
        <f t="shared" ca="1" si="132"/>
        <v>1537414</v>
      </c>
      <c r="G751">
        <f t="shared" ca="1" si="133"/>
        <v>12</v>
      </c>
      <c r="H751">
        <f t="shared" ca="1" si="134"/>
        <v>860</v>
      </c>
      <c r="I751" t="str">
        <f t="shared" ca="1" si="135"/>
        <v>Business</v>
      </c>
      <c r="J751" t="str">
        <f t="shared" ca="1" si="136"/>
        <v>Car</v>
      </c>
      <c r="K751" t="str">
        <f t="shared" ca="1" si="137"/>
        <v>Approved</v>
      </c>
      <c r="L751">
        <f t="shared" si="124"/>
        <v>971</v>
      </c>
      <c r="M751">
        <f t="shared" ca="1" si="125"/>
        <v>612</v>
      </c>
      <c r="N751">
        <f t="shared" ca="1" si="126"/>
        <v>292</v>
      </c>
      <c r="O751" s="2">
        <f t="shared" ca="1" si="127"/>
        <v>0.63027806385169927</v>
      </c>
    </row>
    <row r="752" spans="1:15" x14ac:dyDescent="0.3">
      <c r="A752" s="3" t="s">
        <v>957</v>
      </c>
      <c r="B752" t="str">
        <f t="shared" ca="1" si="128"/>
        <v>Mr. Arun Kumar</v>
      </c>
      <c r="C752">
        <f t="shared" ca="1" si="129"/>
        <v>49</v>
      </c>
      <c r="D752" t="str">
        <f t="shared" ca="1" si="130"/>
        <v>Female</v>
      </c>
      <c r="E752">
        <f t="shared" ca="1" si="131"/>
        <v>1433718</v>
      </c>
      <c r="F752">
        <f t="shared" ca="1" si="132"/>
        <v>523738</v>
      </c>
      <c r="G752">
        <f t="shared" ca="1" si="133"/>
        <v>12</v>
      </c>
      <c r="H752">
        <f t="shared" ca="1" si="134"/>
        <v>675</v>
      </c>
      <c r="I752" t="str">
        <f t="shared" ca="1" si="135"/>
        <v>Salaried</v>
      </c>
      <c r="J752" t="str">
        <f t="shared" ca="1" si="136"/>
        <v>Business</v>
      </c>
      <c r="K752" t="str">
        <f t="shared" ca="1" si="137"/>
        <v>Rejected</v>
      </c>
      <c r="L752">
        <f t="shared" si="124"/>
        <v>971</v>
      </c>
      <c r="M752">
        <f t="shared" ca="1" si="125"/>
        <v>612</v>
      </c>
      <c r="N752">
        <f t="shared" ca="1" si="126"/>
        <v>292</v>
      </c>
      <c r="O752" s="2">
        <f t="shared" ca="1" si="127"/>
        <v>0.63027806385169927</v>
      </c>
    </row>
    <row r="753" spans="1:15" x14ac:dyDescent="0.3">
      <c r="A753" s="3" t="s">
        <v>958</v>
      </c>
      <c r="B753" t="str">
        <f t="shared" ca="1" si="128"/>
        <v>Mr. Amit Das</v>
      </c>
      <c r="C753">
        <f t="shared" ca="1" si="129"/>
        <v>56</v>
      </c>
      <c r="D753" t="str">
        <f t="shared" ca="1" si="130"/>
        <v>Female</v>
      </c>
      <c r="E753">
        <f t="shared" ca="1" si="131"/>
        <v>1765969</v>
      </c>
      <c r="F753">
        <f t="shared" ca="1" si="132"/>
        <v>630137</v>
      </c>
      <c r="G753">
        <f t="shared" ca="1" si="133"/>
        <v>48</v>
      </c>
      <c r="H753">
        <f t="shared" ca="1" si="134"/>
        <v>585</v>
      </c>
      <c r="I753" t="str">
        <f t="shared" ca="1" si="135"/>
        <v>Freelancer</v>
      </c>
      <c r="J753" t="str">
        <f t="shared" ca="1" si="136"/>
        <v>Home</v>
      </c>
      <c r="K753" t="str">
        <f t="shared" ca="1" si="137"/>
        <v>Approved</v>
      </c>
      <c r="L753">
        <f t="shared" si="124"/>
        <v>971</v>
      </c>
      <c r="M753">
        <f t="shared" ca="1" si="125"/>
        <v>612</v>
      </c>
      <c r="N753">
        <f t="shared" ca="1" si="126"/>
        <v>292</v>
      </c>
      <c r="O753" s="2">
        <f t="shared" ca="1" si="127"/>
        <v>0.63027806385169927</v>
      </c>
    </row>
    <row r="754" spans="1:15" x14ac:dyDescent="0.3">
      <c r="A754" s="3" t="s">
        <v>959</v>
      </c>
      <c r="B754" t="str">
        <f t="shared" ca="1" si="128"/>
        <v>Ms. Anjali Singh</v>
      </c>
      <c r="C754">
        <f t="shared" ca="1" si="129"/>
        <v>55</v>
      </c>
      <c r="D754" t="str">
        <f t="shared" ca="1" si="130"/>
        <v>Male</v>
      </c>
      <c r="E754">
        <f t="shared" ca="1" si="131"/>
        <v>775062</v>
      </c>
      <c r="F754">
        <f t="shared" ca="1" si="132"/>
        <v>1168495</v>
      </c>
      <c r="G754">
        <f t="shared" ca="1" si="133"/>
        <v>48</v>
      </c>
      <c r="H754">
        <f t="shared" ca="1" si="134"/>
        <v>744</v>
      </c>
      <c r="I754" t="str">
        <f t="shared" ca="1" si="135"/>
        <v>Salaried</v>
      </c>
      <c r="J754" t="str">
        <f t="shared" ca="1" si="136"/>
        <v>Business</v>
      </c>
      <c r="K754" t="str">
        <f t="shared" ca="1" si="137"/>
        <v>Approved</v>
      </c>
      <c r="L754">
        <f t="shared" si="124"/>
        <v>971</v>
      </c>
      <c r="M754">
        <f t="shared" ca="1" si="125"/>
        <v>612</v>
      </c>
      <c r="N754">
        <f t="shared" ca="1" si="126"/>
        <v>292</v>
      </c>
      <c r="O754" s="2">
        <f t="shared" ca="1" si="127"/>
        <v>0.63027806385169927</v>
      </c>
    </row>
    <row r="755" spans="1:15" x14ac:dyDescent="0.3">
      <c r="A755" s="3" t="s">
        <v>960</v>
      </c>
      <c r="B755" t="str">
        <f t="shared" ca="1" si="128"/>
        <v>Mr. Rohan Gupta</v>
      </c>
      <c r="C755">
        <f t="shared" ca="1" si="129"/>
        <v>41</v>
      </c>
      <c r="D755" t="str">
        <f t="shared" ca="1" si="130"/>
        <v>Male</v>
      </c>
      <c r="E755">
        <f t="shared" ca="1" si="131"/>
        <v>1918979</v>
      </c>
      <c r="F755">
        <f t="shared" ca="1" si="132"/>
        <v>418106</v>
      </c>
      <c r="G755">
        <f t="shared" ca="1" si="133"/>
        <v>60</v>
      </c>
      <c r="H755">
        <f t="shared" ca="1" si="134"/>
        <v>681</v>
      </c>
      <c r="I755" t="str">
        <f t="shared" ca="1" si="135"/>
        <v>Salaried</v>
      </c>
      <c r="J755" t="str">
        <f t="shared" ca="1" si="136"/>
        <v>Education</v>
      </c>
      <c r="K755" t="str">
        <f t="shared" ca="1" si="137"/>
        <v>Rejected</v>
      </c>
      <c r="L755">
        <f t="shared" si="124"/>
        <v>971</v>
      </c>
      <c r="M755">
        <f t="shared" ca="1" si="125"/>
        <v>612</v>
      </c>
      <c r="N755">
        <f t="shared" ca="1" si="126"/>
        <v>292</v>
      </c>
      <c r="O755" s="2">
        <f t="shared" ca="1" si="127"/>
        <v>0.63027806385169927</v>
      </c>
    </row>
    <row r="756" spans="1:15" x14ac:dyDescent="0.3">
      <c r="A756" s="3" t="s">
        <v>961</v>
      </c>
      <c r="B756" t="str">
        <f t="shared" ca="1" si="128"/>
        <v>Mr. Rohan Gupta</v>
      </c>
      <c r="C756">
        <f t="shared" ca="1" si="129"/>
        <v>63</v>
      </c>
      <c r="D756" t="str">
        <f t="shared" ca="1" si="130"/>
        <v>Male</v>
      </c>
      <c r="E756">
        <f t="shared" ca="1" si="131"/>
        <v>807152</v>
      </c>
      <c r="F756">
        <f t="shared" ca="1" si="132"/>
        <v>686701</v>
      </c>
      <c r="G756">
        <f t="shared" ca="1" si="133"/>
        <v>12</v>
      </c>
      <c r="H756">
        <f t="shared" ca="1" si="134"/>
        <v>414</v>
      </c>
      <c r="I756" t="str">
        <f t="shared" ca="1" si="135"/>
        <v>Contract-Based</v>
      </c>
      <c r="J756" t="str">
        <f t="shared" ca="1" si="136"/>
        <v>Business</v>
      </c>
      <c r="K756" t="str">
        <f t="shared" ca="1" si="137"/>
        <v>Approved</v>
      </c>
      <c r="L756">
        <f t="shared" si="124"/>
        <v>971</v>
      </c>
      <c r="M756">
        <f t="shared" ca="1" si="125"/>
        <v>612</v>
      </c>
      <c r="N756">
        <f t="shared" ca="1" si="126"/>
        <v>292</v>
      </c>
      <c r="O756" s="2">
        <f t="shared" ca="1" si="127"/>
        <v>0.63027806385169927</v>
      </c>
    </row>
    <row r="757" spans="1:15" x14ac:dyDescent="0.3">
      <c r="A757" s="3" t="s">
        <v>962</v>
      </c>
      <c r="B757" t="str">
        <f t="shared" ca="1" si="128"/>
        <v>Mr. Amit Das</v>
      </c>
      <c r="C757">
        <f t="shared" ca="1" si="129"/>
        <v>39</v>
      </c>
      <c r="D757" t="str">
        <f t="shared" ca="1" si="130"/>
        <v>Female</v>
      </c>
      <c r="E757">
        <f t="shared" ca="1" si="131"/>
        <v>1745771</v>
      </c>
      <c r="F757">
        <f t="shared" ca="1" si="132"/>
        <v>116891</v>
      </c>
      <c r="G757">
        <f t="shared" ca="1" si="133"/>
        <v>60</v>
      </c>
      <c r="H757">
        <f t="shared" ca="1" si="134"/>
        <v>779</v>
      </c>
      <c r="I757" t="str">
        <f t="shared" ca="1" si="135"/>
        <v>Salaried</v>
      </c>
      <c r="J757" t="str">
        <f t="shared" ca="1" si="136"/>
        <v>Business</v>
      </c>
      <c r="K757" t="str">
        <f t="shared" ca="1" si="137"/>
        <v>Approved</v>
      </c>
      <c r="L757">
        <f t="shared" si="124"/>
        <v>971</v>
      </c>
      <c r="M757">
        <f t="shared" ca="1" si="125"/>
        <v>612</v>
      </c>
      <c r="N757">
        <f t="shared" ca="1" si="126"/>
        <v>292</v>
      </c>
      <c r="O757" s="2">
        <f t="shared" ca="1" si="127"/>
        <v>0.63027806385169927</v>
      </c>
    </row>
    <row r="758" spans="1:15" x14ac:dyDescent="0.3">
      <c r="A758" s="3" t="s">
        <v>963</v>
      </c>
      <c r="B758" t="str">
        <f t="shared" ca="1" si="128"/>
        <v>Mr. Arun Kumar</v>
      </c>
      <c r="C758">
        <f t="shared" ca="1" si="129"/>
        <v>31</v>
      </c>
      <c r="D758" t="str">
        <f t="shared" ca="1" si="130"/>
        <v>Female</v>
      </c>
      <c r="E758">
        <f t="shared" ca="1" si="131"/>
        <v>1727211</v>
      </c>
      <c r="F758">
        <f t="shared" ca="1" si="132"/>
        <v>1238905</v>
      </c>
      <c r="G758">
        <f t="shared" ca="1" si="133"/>
        <v>48</v>
      </c>
      <c r="H758">
        <f t="shared" ca="1" si="134"/>
        <v>651</v>
      </c>
      <c r="I758" t="str">
        <f t="shared" ca="1" si="135"/>
        <v>Freelancer</v>
      </c>
      <c r="J758" t="str">
        <f t="shared" ca="1" si="136"/>
        <v>Education</v>
      </c>
      <c r="K758" t="str">
        <f t="shared" ca="1" si="137"/>
        <v>Approved</v>
      </c>
      <c r="L758">
        <f t="shared" si="124"/>
        <v>971</v>
      </c>
      <c r="M758">
        <f t="shared" ca="1" si="125"/>
        <v>612</v>
      </c>
      <c r="N758">
        <f t="shared" ca="1" si="126"/>
        <v>292</v>
      </c>
      <c r="O758" s="2">
        <f t="shared" ca="1" si="127"/>
        <v>0.63027806385169927</v>
      </c>
    </row>
    <row r="759" spans="1:15" x14ac:dyDescent="0.3">
      <c r="A759" s="3" t="s">
        <v>964</v>
      </c>
      <c r="B759" t="str">
        <f t="shared" ca="1" si="128"/>
        <v>Ms. Priya Sharma</v>
      </c>
      <c r="C759">
        <f t="shared" ca="1" si="129"/>
        <v>45</v>
      </c>
      <c r="D759" t="str">
        <f t="shared" ca="1" si="130"/>
        <v>Male</v>
      </c>
      <c r="E759">
        <f t="shared" ca="1" si="131"/>
        <v>528207</v>
      </c>
      <c r="F759">
        <f t="shared" ca="1" si="132"/>
        <v>1318705</v>
      </c>
      <c r="G759">
        <f t="shared" ca="1" si="133"/>
        <v>60</v>
      </c>
      <c r="H759">
        <f t="shared" ca="1" si="134"/>
        <v>544</v>
      </c>
      <c r="I759" t="str">
        <f t="shared" ca="1" si="135"/>
        <v>Contract-Based</v>
      </c>
      <c r="J759" t="str">
        <f t="shared" ca="1" si="136"/>
        <v>Business</v>
      </c>
      <c r="K759" t="str">
        <f t="shared" ca="1" si="137"/>
        <v>Approved</v>
      </c>
      <c r="L759">
        <f t="shared" si="124"/>
        <v>971</v>
      </c>
      <c r="M759">
        <f t="shared" ca="1" si="125"/>
        <v>612</v>
      </c>
      <c r="N759">
        <f t="shared" ca="1" si="126"/>
        <v>292</v>
      </c>
      <c r="O759" s="2">
        <f t="shared" ca="1" si="127"/>
        <v>0.63027806385169927</v>
      </c>
    </row>
    <row r="760" spans="1:15" x14ac:dyDescent="0.3">
      <c r="A760" s="3" t="s">
        <v>965</v>
      </c>
      <c r="B760" t="str">
        <f t="shared" ca="1" si="128"/>
        <v>Mr. Raj Kumar</v>
      </c>
      <c r="C760">
        <f t="shared" ca="1" si="129"/>
        <v>61</v>
      </c>
      <c r="D760" t="str">
        <f t="shared" ca="1" si="130"/>
        <v>Female</v>
      </c>
      <c r="E760">
        <f t="shared" ca="1" si="131"/>
        <v>1862515</v>
      </c>
      <c r="F760">
        <f t="shared" ca="1" si="132"/>
        <v>2421976</v>
      </c>
      <c r="G760">
        <f t="shared" ca="1" si="133"/>
        <v>36</v>
      </c>
      <c r="H760">
        <f t="shared" ca="1" si="134"/>
        <v>842</v>
      </c>
      <c r="I760" t="str">
        <f t="shared" ca="1" si="135"/>
        <v>Freelancer</v>
      </c>
      <c r="J760" t="str">
        <f t="shared" ca="1" si="136"/>
        <v>Education</v>
      </c>
      <c r="K760" t="str">
        <f t="shared" ca="1" si="137"/>
        <v>Rejected</v>
      </c>
      <c r="L760">
        <f t="shared" si="124"/>
        <v>971</v>
      </c>
      <c r="M760">
        <f t="shared" ca="1" si="125"/>
        <v>612</v>
      </c>
      <c r="N760">
        <f t="shared" ca="1" si="126"/>
        <v>292</v>
      </c>
      <c r="O760" s="2">
        <f t="shared" ca="1" si="127"/>
        <v>0.63027806385169927</v>
      </c>
    </row>
    <row r="761" spans="1:15" x14ac:dyDescent="0.3">
      <c r="A761" s="3" t="s">
        <v>966</v>
      </c>
      <c r="B761" t="str">
        <f t="shared" ca="1" si="128"/>
        <v>Mr. Arun Kumar</v>
      </c>
      <c r="C761">
        <f t="shared" ca="1" si="129"/>
        <v>35</v>
      </c>
      <c r="D761" t="str">
        <f t="shared" ca="1" si="130"/>
        <v>Female</v>
      </c>
      <c r="E761">
        <f t="shared" ca="1" si="131"/>
        <v>1691113</v>
      </c>
      <c r="F761">
        <f t="shared" ca="1" si="132"/>
        <v>905728</v>
      </c>
      <c r="G761">
        <f t="shared" ca="1" si="133"/>
        <v>84</v>
      </c>
      <c r="H761">
        <f t="shared" ca="1" si="134"/>
        <v>687</v>
      </c>
      <c r="I761" t="str">
        <f t="shared" ca="1" si="135"/>
        <v>Salaried</v>
      </c>
      <c r="J761" t="str">
        <f t="shared" ca="1" si="136"/>
        <v>Business</v>
      </c>
      <c r="K761" t="str">
        <f t="shared" ca="1" si="137"/>
        <v>Approved</v>
      </c>
      <c r="L761">
        <f t="shared" si="124"/>
        <v>971</v>
      </c>
      <c r="M761">
        <f t="shared" ca="1" si="125"/>
        <v>612</v>
      </c>
      <c r="N761">
        <f t="shared" ca="1" si="126"/>
        <v>292</v>
      </c>
      <c r="O761" s="2">
        <f t="shared" ca="1" si="127"/>
        <v>0.63027806385169927</v>
      </c>
    </row>
    <row r="762" spans="1:15" x14ac:dyDescent="0.3">
      <c r="A762" s="3" t="s">
        <v>967</v>
      </c>
      <c r="B762" t="str">
        <f t="shared" ca="1" si="128"/>
        <v>Ms. Neha Verma</v>
      </c>
      <c r="C762">
        <f t="shared" ca="1" si="129"/>
        <v>47</v>
      </c>
      <c r="D762" t="str">
        <f t="shared" ca="1" si="130"/>
        <v>Female</v>
      </c>
      <c r="E762">
        <f t="shared" ca="1" si="131"/>
        <v>238875</v>
      </c>
      <c r="F762">
        <f t="shared" ca="1" si="132"/>
        <v>1431620</v>
      </c>
      <c r="G762">
        <f t="shared" ca="1" si="133"/>
        <v>24</v>
      </c>
      <c r="H762">
        <f t="shared" ca="1" si="134"/>
        <v>514</v>
      </c>
      <c r="I762" t="str">
        <f t="shared" ca="1" si="135"/>
        <v>Freelancer</v>
      </c>
      <c r="J762" t="str">
        <f t="shared" ca="1" si="136"/>
        <v>Education</v>
      </c>
      <c r="K762" t="str">
        <f t="shared" ca="1" si="137"/>
        <v>Approved</v>
      </c>
      <c r="L762">
        <f t="shared" si="124"/>
        <v>971</v>
      </c>
      <c r="M762">
        <f t="shared" ca="1" si="125"/>
        <v>612</v>
      </c>
      <c r="N762">
        <f t="shared" ca="1" si="126"/>
        <v>292</v>
      </c>
      <c r="O762" s="2">
        <f t="shared" ca="1" si="127"/>
        <v>0.63027806385169927</v>
      </c>
    </row>
    <row r="763" spans="1:15" x14ac:dyDescent="0.3">
      <c r="A763" s="3" t="s">
        <v>968</v>
      </c>
      <c r="B763" t="str">
        <f t="shared" ca="1" si="128"/>
        <v>Mr. Rohan Gupta</v>
      </c>
      <c r="C763">
        <f t="shared" ca="1" si="129"/>
        <v>59</v>
      </c>
      <c r="D763" t="str">
        <f t="shared" ca="1" si="130"/>
        <v>Female</v>
      </c>
      <c r="E763">
        <f t="shared" ca="1" si="131"/>
        <v>1829923</v>
      </c>
      <c r="F763">
        <f t="shared" ca="1" si="132"/>
        <v>1898411</v>
      </c>
      <c r="G763">
        <f t="shared" ca="1" si="133"/>
        <v>36</v>
      </c>
      <c r="H763">
        <f t="shared" ca="1" si="134"/>
        <v>521</v>
      </c>
      <c r="I763" t="str">
        <f t="shared" ca="1" si="135"/>
        <v>Business</v>
      </c>
      <c r="J763" t="str">
        <f t="shared" ca="1" si="136"/>
        <v>Education</v>
      </c>
      <c r="K763" t="str">
        <f t="shared" ca="1" si="137"/>
        <v>Rejected</v>
      </c>
      <c r="L763">
        <f t="shared" si="124"/>
        <v>971</v>
      </c>
      <c r="M763">
        <f t="shared" ca="1" si="125"/>
        <v>612</v>
      </c>
      <c r="N763">
        <f t="shared" ca="1" si="126"/>
        <v>292</v>
      </c>
      <c r="O763" s="2">
        <f t="shared" ca="1" si="127"/>
        <v>0.63027806385169927</v>
      </c>
    </row>
    <row r="764" spans="1:15" x14ac:dyDescent="0.3">
      <c r="A764" s="3" t="s">
        <v>969</v>
      </c>
      <c r="B764" t="str">
        <f t="shared" ca="1" si="128"/>
        <v>Ms. Priya Sharma</v>
      </c>
      <c r="C764">
        <f t="shared" ca="1" si="129"/>
        <v>41</v>
      </c>
      <c r="D764" t="str">
        <f t="shared" ca="1" si="130"/>
        <v>Female</v>
      </c>
      <c r="E764">
        <f t="shared" ca="1" si="131"/>
        <v>655757</v>
      </c>
      <c r="F764">
        <f t="shared" ca="1" si="132"/>
        <v>1053850</v>
      </c>
      <c r="G764">
        <f t="shared" ca="1" si="133"/>
        <v>72</v>
      </c>
      <c r="H764">
        <f t="shared" ca="1" si="134"/>
        <v>562</v>
      </c>
      <c r="I764" t="str">
        <f t="shared" ca="1" si="135"/>
        <v>Freelancer</v>
      </c>
      <c r="J764" t="str">
        <f t="shared" ca="1" si="136"/>
        <v>Education</v>
      </c>
      <c r="K764" t="str">
        <f t="shared" ca="1" si="137"/>
        <v>Approved</v>
      </c>
      <c r="L764">
        <f t="shared" si="124"/>
        <v>971</v>
      </c>
      <c r="M764">
        <f t="shared" ca="1" si="125"/>
        <v>612</v>
      </c>
      <c r="N764">
        <f t="shared" ca="1" si="126"/>
        <v>292</v>
      </c>
      <c r="O764" s="2">
        <f t="shared" ca="1" si="127"/>
        <v>0.63027806385169927</v>
      </c>
    </row>
    <row r="765" spans="1:15" x14ac:dyDescent="0.3">
      <c r="A765" s="3" t="s">
        <v>970</v>
      </c>
      <c r="B765" t="str">
        <f t="shared" ca="1" si="128"/>
        <v>Ms. Neha Verma</v>
      </c>
      <c r="C765">
        <f t="shared" ca="1" si="129"/>
        <v>60</v>
      </c>
      <c r="D765" t="str">
        <f t="shared" ca="1" si="130"/>
        <v>Female</v>
      </c>
      <c r="E765">
        <f t="shared" ca="1" si="131"/>
        <v>984394</v>
      </c>
      <c r="F765">
        <f t="shared" ca="1" si="132"/>
        <v>694910</v>
      </c>
      <c r="G765">
        <f t="shared" ca="1" si="133"/>
        <v>12</v>
      </c>
      <c r="H765">
        <f t="shared" ca="1" si="134"/>
        <v>300</v>
      </c>
      <c r="I765" t="str">
        <f t="shared" ca="1" si="135"/>
        <v>Student</v>
      </c>
      <c r="J765" t="str">
        <f t="shared" ca="1" si="136"/>
        <v>Education</v>
      </c>
      <c r="K765" t="str">
        <f t="shared" ca="1" si="137"/>
        <v>Approved</v>
      </c>
      <c r="L765">
        <f t="shared" si="124"/>
        <v>971</v>
      </c>
      <c r="M765">
        <f t="shared" ca="1" si="125"/>
        <v>612</v>
      </c>
      <c r="N765">
        <f t="shared" ca="1" si="126"/>
        <v>292</v>
      </c>
      <c r="O765" s="2">
        <f t="shared" ca="1" si="127"/>
        <v>0.63027806385169927</v>
      </c>
    </row>
    <row r="766" spans="1:15" x14ac:dyDescent="0.3">
      <c r="A766" s="3" t="s">
        <v>971</v>
      </c>
      <c r="B766" t="str">
        <f t="shared" ca="1" si="128"/>
        <v>Ms. Pooja Patel</v>
      </c>
      <c r="C766">
        <f t="shared" ca="1" si="129"/>
        <v>47</v>
      </c>
      <c r="D766" t="str">
        <f t="shared" ca="1" si="130"/>
        <v>Male</v>
      </c>
      <c r="E766">
        <f t="shared" ca="1" si="131"/>
        <v>760548</v>
      </c>
      <c r="F766">
        <f t="shared" ca="1" si="132"/>
        <v>2377637</v>
      </c>
      <c r="G766">
        <f t="shared" ca="1" si="133"/>
        <v>48</v>
      </c>
      <c r="H766">
        <f t="shared" ca="1" si="134"/>
        <v>319</v>
      </c>
      <c r="I766" t="str">
        <f t="shared" ca="1" si="135"/>
        <v>Freelancer</v>
      </c>
      <c r="J766" t="str">
        <f t="shared" ca="1" si="136"/>
        <v>Home</v>
      </c>
      <c r="K766" t="str">
        <f t="shared" ca="1" si="137"/>
        <v>Approved</v>
      </c>
      <c r="L766">
        <f t="shared" si="124"/>
        <v>971</v>
      </c>
      <c r="M766">
        <f t="shared" ca="1" si="125"/>
        <v>612</v>
      </c>
      <c r="N766">
        <f t="shared" ca="1" si="126"/>
        <v>292</v>
      </c>
      <c r="O766" s="2">
        <f t="shared" ca="1" si="127"/>
        <v>0.63027806385169927</v>
      </c>
    </row>
    <row r="767" spans="1:15" x14ac:dyDescent="0.3">
      <c r="A767" s="3" t="s">
        <v>972</v>
      </c>
      <c r="B767" t="str">
        <f t="shared" ca="1" si="128"/>
        <v>Ms. Kajal Yadav</v>
      </c>
      <c r="C767">
        <f t="shared" ca="1" si="129"/>
        <v>28</v>
      </c>
      <c r="D767" t="str">
        <f t="shared" ca="1" si="130"/>
        <v>Male</v>
      </c>
      <c r="E767">
        <f t="shared" ca="1" si="131"/>
        <v>1483791</v>
      </c>
      <c r="F767">
        <f t="shared" ca="1" si="132"/>
        <v>618684</v>
      </c>
      <c r="G767">
        <f t="shared" ca="1" si="133"/>
        <v>12</v>
      </c>
      <c r="H767">
        <f t="shared" ca="1" si="134"/>
        <v>532</v>
      </c>
      <c r="I767" t="str">
        <f t="shared" ca="1" si="135"/>
        <v>Business</v>
      </c>
      <c r="J767" t="str">
        <f t="shared" ca="1" si="136"/>
        <v>Education</v>
      </c>
      <c r="K767" t="str">
        <f t="shared" ca="1" si="137"/>
        <v>Rejected</v>
      </c>
      <c r="L767">
        <f t="shared" si="124"/>
        <v>971</v>
      </c>
      <c r="M767">
        <f t="shared" ca="1" si="125"/>
        <v>612</v>
      </c>
      <c r="N767">
        <f t="shared" ca="1" si="126"/>
        <v>292</v>
      </c>
      <c r="O767" s="2">
        <f t="shared" ca="1" si="127"/>
        <v>0.63027806385169927</v>
      </c>
    </row>
    <row r="768" spans="1:15" x14ac:dyDescent="0.3">
      <c r="A768" s="3" t="s">
        <v>973</v>
      </c>
      <c r="B768" t="str">
        <f t="shared" ca="1" si="128"/>
        <v>Ms. Anjali Singh</v>
      </c>
      <c r="C768">
        <f t="shared" ca="1" si="129"/>
        <v>32</v>
      </c>
      <c r="D768" t="str">
        <f t="shared" ca="1" si="130"/>
        <v>Female</v>
      </c>
      <c r="E768">
        <f t="shared" ca="1" si="131"/>
        <v>381634</v>
      </c>
      <c r="F768">
        <f t="shared" ca="1" si="132"/>
        <v>1461559</v>
      </c>
      <c r="G768">
        <f t="shared" ca="1" si="133"/>
        <v>84</v>
      </c>
      <c r="H768">
        <f t="shared" ca="1" si="134"/>
        <v>788</v>
      </c>
      <c r="I768" t="str">
        <f t="shared" ca="1" si="135"/>
        <v>Self-Employed</v>
      </c>
      <c r="J768" t="str">
        <f t="shared" ca="1" si="136"/>
        <v>Car</v>
      </c>
      <c r="K768" t="str">
        <f t="shared" ca="1" si="137"/>
        <v>Approved</v>
      </c>
      <c r="L768">
        <f t="shared" si="124"/>
        <v>971</v>
      </c>
      <c r="M768">
        <f t="shared" ca="1" si="125"/>
        <v>612</v>
      </c>
      <c r="N768">
        <f t="shared" ca="1" si="126"/>
        <v>292</v>
      </c>
      <c r="O768" s="2">
        <f t="shared" ca="1" si="127"/>
        <v>0.63027806385169927</v>
      </c>
    </row>
    <row r="769" spans="1:15" x14ac:dyDescent="0.3">
      <c r="A769" s="3" t="s">
        <v>974</v>
      </c>
      <c r="B769" t="str">
        <f t="shared" ca="1" si="128"/>
        <v>Mr. Amit Das</v>
      </c>
      <c r="C769">
        <f t="shared" ca="1" si="129"/>
        <v>55</v>
      </c>
      <c r="D769" t="str">
        <f t="shared" ca="1" si="130"/>
        <v>Female</v>
      </c>
      <c r="E769">
        <f t="shared" ca="1" si="131"/>
        <v>1080901</v>
      </c>
      <c r="F769">
        <f t="shared" ca="1" si="132"/>
        <v>256092</v>
      </c>
      <c r="G769">
        <f t="shared" ca="1" si="133"/>
        <v>72</v>
      </c>
      <c r="H769">
        <f t="shared" ca="1" si="134"/>
        <v>379</v>
      </c>
      <c r="I769" t="str">
        <f t="shared" ca="1" si="135"/>
        <v>Self-Employed</v>
      </c>
      <c r="J769" t="str">
        <f t="shared" ca="1" si="136"/>
        <v>Personal</v>
      </c>
      <c r="K769" t="str">
        <f t="shared" ca="1" si="137"/>
        <v>Approved</v>
      </c>
      <c r="L769">
        <f t="shared" si="124"/>
        <v>971</v>
      </c>
      <c r="M769">
        <f t="shared" ca="1" si="125"/>
        <v>612</v>
      </c>
      <c r="N769">
        <f t="shared" ca="1" si="126"/>
        <v>292</v>
      </c>
      <c r="O769" s="2">
        <f t="shared" ca="1" si="127"/>
        <v>0.63027806385169927</v>
      </c>
    </row>
    <row r="770" spans="1:15" x14ac:dyDescent="0.3">
      <c r="A770" s="3" t="s">
        <v>975</v>
      </c>
      <c r="B770" t="str">
        <f t="shared" ca="1" si="128"/>
        <v>Mr. Raj Kumar</v>
      </c>
      <c r="C770">
        <f t="shared" ca="1" si="129"/>
        <v>24</v>
      </c>
      <c r="D770" t="str">
        <f t="shared" ca="1" si="130"/>
        <v>Female</v>
      </c>
      <c r="E770">
        <f t="shared" ca="1" si="131"/>
        <v>661890</v>
      </c>
      <c r="F770">
        <f t="shared" ca="1" si="132"/>
        <v>2019137</v>
      </c>
      <c r="G770">
        <f t="shared" ca="1" si="133"/>
        <v>72</v>
      </c>
      <c r="H770">
        <f t="shared" ca="1" si="134"/>
        <v>716</v>
      </c>
      <c r="I770" t="str">
        <f t="shared" ca="1" si="135"/>
        <v>Student</v>
      </c>
      <c r="J770" t="str">
        <f t="shared" ca="1" si="136"/>
        <v>Personal</v>
      </c>
      <c r="K770" t="str">
        <f t="shared" ca="1" si="137"/>
        <v>Approved</v>
      </c>
      <c r="L770">
        <f t="shared" ref="L770:L833" si="138">COUNTA($A$2:$A$1001)</f>
        <v>971</v>
      </c>
      <c r="M770">
        <f t="shared" ca="1" si="125"/>
        <v>612</v>
      </c>
      <c r="N770">
        <f t="shared" ca="1" si="126"/>
        <v>292</v>
      </c>
      <c r="O770" s="2">
        <f t="shared" ca="1" si="127"/>
        <v>0.63027806385169927</v>
      </c>
    </row>
    <row r="771" spans="1:15" x14ac:dyDescent="0.3">
      <c r="A771" s="3" t="s">
        <v>976</v>
      </c>
      <c r="B771" t="str">
        <f t="shared" ca="1" si="128"/>
        <v>Ms. Neha Verma</v>
      </c>
      <c r="C771">
        <f t="shared" ca="1" si="129"/>
        <v>48</v>
      </c>
      <c r="D771" t="str">
        <f t="shared" ca="1" si="130"/>
        <v>Male</v>
      </c>
      <c r="E771">
        <f t="shared" ca="1" si="131"/>
        <v>1856930</v>
      </c>
      <c r="F771">
        <f t="shared" ca="1" si="132"/>
        <v>626953</v>
      </c>
      <c r="G771">
        <f t="shared" ca="1" si="133"/>
        <v>12</v>
      </c>
      <c r="H771">
        <f t="shared" ca="1" si="134"/>
        <v>529</v>
      </c>
      <c r="I771" t="str">
        <f t="shared" ca="1" si="135"/>
        <v>Salaried</v>
      </c>
      <c r="J771" t="str">
        <f t="shared" ca="1" si="136"/>
        <v>Personal</v>
      </c>
      <c r="K771" t="str">
        <f t="shared" ca="1" si="137"/>
        <v>Rejected</v>
      </c>
      <c r="L771">
        <f t="shared" si="138"/>
        <v>971</v>
      </c>
      <c r="M771">
        <f t="shared" ref="M771:M834" ca="1" si="139">COUNTIF($K$2:$K$1001,"Approved")</f>
        <v>612</v>
      </c>
      <c r="N771">
        <f t="shared" ref="N771:N834" ca="1" si="140">COUNTIF($K$2:$K$1001,"Rejected")</f>
        <v>292</v>
      </c>
      <c r="O771" s="2">
        <f t="shared" ref="O771:O834" ca="1" si="141">COUNTIF($K$2:$K$1001,"Approved") / COUNTA($A$2:$A$1001)</f>
        <v>0.63027806385169927</v>
      </c>
    </row>
    <row r="772" spans="1:15" x14ac:dyDescent="0.3">
      <c r="A772" s="3" t="s">
        <v>977</v>
      </c>
      <c r="B772" t="str">
        <f t="shared" ca="1" si="128"/>
        <v>Mr. Raj Kumar</v>
      </c>
      <c r="C772">
        <f t="shared" ca="1" si="129"/>
        <v>54</v>
      </c>
      <c r="D772" t="str">
        <f t="shared" ca="1" si="130"/>
        <v>Male</v>
      </c>
      <c r="E772">
        <f t="shared" ca="1" si="131"/>
        <v>1670091</v>
      </c>
      <c r="F772">
        <f t="shared" ca="1" si="132"/>
        <v>712656</v>
      </c>
      <c r="G772">
        <f t="shared" ca="1" si="133"/>
        <v>24</v>
      </c>
      <c r="H772">
        <f t="shared" ca="1" si="134"/>
        <v>835</v>
      </c>
      <c r="I772" t="str">
        <f t="shared" ca="1" si="135"/>
        <v>Contract-Based</v>
      </c>
      <c r="J772" t="str">
        <f t="shared" ca="1" si="136"/>
        <v>Education</v>
      </c>
      <c r="K772" t="str">
        <f t="shared" ca="1" si="137"/>
        <v>Approved</v>
      </c>
      <c r="L772">
        <f t="shared" si="138"/>
        <v>971</v>
      </c>
      <c r="M772">
        <f t="shared" ca="1" si="139"/>
        <v>612</v>
      </c>
      <c r="N772">
        <f t="shared" ca="1" si="140"/>
        <v>292</v>
      </c>
      <c r="O772" s="2">
        <f t="shared" ca="1" si="141"/>
        <v>0.63027806385169927</v>
      </c>
    </row>
    <row r="773" spans="1:15" x14ac:dyDescent="0.3">
      <c r="A773" s="3" t="s">
        <v>978</v>
      </c>
      <c r="B773" t="str">
        <f t="shared" ca="1" si="128"/>
        <v>Ms. Priya Sharma</v>
      </c>
      <c r="C773">
        <f t="shared" ca="1" si="129"/>
        <v>57</v>
      </c>
      <c r="D773" t="str">
        <f t="shared" ca="1" si="130"/>
        <v>Female</v>
      </c>
      <c r="E773">
        <f t="shared" ca="1" si="131"/>
        <v>1916656</v>
      </c>
      <c r="F773">
        <f t="shared" ca="1" si="132"/>
        <v>697821</v>
      </c>
      <c r="G773">
        <f t="shared" ca="1" si="133"/>
        <v>24</v>
      </c>
      <c r="H773">
        <f t="shared" ca="1" si="134"/>
        <v>366</v>
      </c>
      <c r="I773" t="str">
        <f t="shared" ca="1" si="135"/>
        <v>Salaried</v>
      </c>
      <c r="J773" t="str">
        <f t="shared" ca="1" si="136"/>
        <v>Car</v>
      </c>
      <c r="K773" t="str">
        <f t="shared" ca="1" si="137"/>
        <v>Approved</v>
      </c>
      <c r="L773">
        <f t="shared" si="138"/>
        <v>971</v>
      </c>
      <c r="M773">
        <f t="shared" ca="1" si="139"/>
        <v>612</v>
      </c>
      <c r="N773">
        <f t="shared" ca="1" si="140"/>
        <v>292</v>
      </c>
      <c r="O773" s="2">
        <f t="shared" ca="1" si="141"/>
        <v>0.63027806385169927</v>
      </c>
    </row>
    <row r="774" spans="1:15" x14ac:dyDescent="0.3">
      <c r="A774" s="3" t="s">
        <v>979</v>
      </c>
      <c r="B774" t="str">
        <f t="shared" ca="1" si="128"/>
        <v>Ms. Anjali Singh</v>
      </c>
      <c r="C774">
        <f t="shared" ca="1" si="129"/>
        <v>26</v>
      </c>
      <c r="D774" t="str">
        <f t="shared" ca="1" si="130"/>
        <v>Female</v>
      </c>
      <c r="E774">
        <f t="shared" ca="1" si="131"/>
        <v>573767</v>
      </c>
      <c r="F774">
        <f t="shared" ca="1" si="132"/>
        <v>1453886</v>
      </c>
      <c r="G774">
        <f t="shared" ca="1" si="133"/>
        <v>60</v>
      </c>
      <c r="H774">
        <f t="shared" ca="1" si="134"/>
        <v>602</v>
      </c>
      <c r="I774" t="str">
        <f t="shared" ca="1" si="135"/>
        <v>Student</v>
      </c>
      <c r="J774" t="str">
        <f t="shared" ca="1" si="136"/>
        <v>Personal</v>
      </c>
      <c r="K774" t="str">
        <f t="shared" ca="1" si="137"/>
        <v>Rejected</v>
      </c>
      <c r="L774">
        <f t="shared" si="138"/>
        <v>971</v>
      </c>
      <c r="M774">
        <f t="shared" ca="1" si="139"/>
        <v>612</v>
      </c>
      <c r="N774">
        <f t="shared" ca="1" si="140"/>
        <v>292</v>
      </c>
      <c r="O774" s="2">
        <f t="shared" ca="1" si="141"/>
        <v>0.63027806385169927</v>
      </c>
    </row>
    <row r="775" spans="1:15" x14ac:dyDescent="0.3">
      <c r="A775" s="3" t="s">
        <v>980</v>
      </c>
      <c r="B775" t="str">
        <f t="shared" ca="1" si="128"/>
        <v>Ms. Anjali Singh</v>
      </c>
      <c r="C775">
        <f t="shared" ca="1" si="129"/>
        <v>44</v>
      </c>
      <c r="D775" t="str">
        <f t="shared" ca="1" si="130"/>
        <v>Female</v>
      </c>
      <c r="E775">
        <f t="shared" ca="1" si="131"/>
        <v>1441002</v>
      </c>
      <c r="F775">
        <f t="shared" ca="1" si="132"/>
        <v>364114</v>
      </c>
      <c r="G775">
        <f t="shared" ca="1" si="133"/>
        <v>84</v>
      </c>
      <c r="H775">
        <f t="shared" ca="1" si="134"/>
        <v>463</v>
      </c>
      <c r="I775" t="str">
        <f t="shared" ca="1" si="135"/>
        <v>Student</v>
      </c>
      <c r="J775" t="str">
        <f t="shared" ca="1" si="136"/>
        <v>Home</v>
      </c>
      <c r="K775" t="str">
        <f t="shared" ca="1" si="137"/>
        <v>Rejected</v>
      </c>
      <c r="L775">
        <f t="shared" si="138"/>
        <v>971</v>
      </c>
      <c r="M775">
        <f t="shared" ca="1" si="139"/>
        <v>612</v>
      </c>
      <c r="N775">
        <f t="shared" ca="1" si="140"/>
        <v>292</v>
      </c>
      <c r="O775" s="2">
        <f t="shared" ca="1" si="141"/>
        <v>0.63027806385169927</v>
      </c>
    </row>
    <row r="776" spans="1:15" x14ac:dyDescent="0.3">
      <c r="A776" s="3" t="s">
        <v>981</v>
      </c>
      <c r="B776" t="str">
        <f t="shared" ca="1" si="128"/>
        <v>Mr. Arun Kumar</v>
      </c>
      <c r="C776">
        <f t="shared" ca="1" si="129"/>
        <v>59</v>
      </c>
      <c r="D776" t="str">
        <f t="shared" ca="1" si="130"/>
        <v>Male</v>
      </c>
      <c r="E776">
        <f t="shared" ca="1" si="131"/>
        <v>1159656</v>
      </c>
      <c r="F776">
        <f t="shared" ca="1" si="132"/>
        <v>149951</v>
      </c>
      <c r="G776">
        <f t="shared" ca="1" si="133"/>
        <v>24</v>
      </c>
      <c r="H776">
        <f t="shared" ca="1" si="134"/>
        <v>691</v>
      </c>
      <c r="I776" t="str">
        <f t="shared" ca="1" si="135"/>
        <v>Business</v>
      </c>
      <c r="J776" t="str">
        <f t="shared" ca="1" si="136"/>
        <v>Home</v>
      </c>
      <c r="K776" t="str">
        <f t="shared" ca="1" si="137"/>
        <v>Rejected</v>
      </c>
      <c r="L776">
        <f t="shared" si="138"/>
        <v>971</v>
      </c>
      <c r="M776">
        <f t="shared" ca="1" si="139"/>
        <v>612</v>
      </c>
      <c r="N776">
        <f t="shared" ca="1" si="140"/>
        <v>292</v>
      </c>
      <c r="O776" s="2">
        <f t="shared" ca="1" si="141"/>
        <v>0.63027806385169927</v>
      </c>
    </row>
    <row r="777" spans="1:15" x14ac:dyDescent="0.3">
      <c r="A777" s="3" t="s">
        <v>982</v>
      </c>
      <c r="B777" t="str">
        <f t="shared" ca="1" si="128"/>
        <v>Mr. Rohan Gupta</v>
      </c>
      <c r="C777">
        <f t="shared" ca="1" si="129"/>
        <v>22</v>
      </c>
      <c r="D777" t="str">
        <f t="shared" ca="1" si="130"/>
        <v>Female</v>
      </c>
      <c r="E777">
        <f t="shared" ca="1" si="131"/>
        <v>473122</v>
      </c>
      <c r="F777">
        <f t="shared" ca="1" si="132"/>
        <v>60861</v>
      </c>
      <c r="G777">
        <f t="shared" ca="1" si="133"/>
        <v>48</v>
      </c>
      <c r="H777">
        <f t="shared" ca="1" si="134"/>
        <v>437</v>
      </c>
      <c r="I777" t="str">
        <f t="shared" ca="1" si="135"/>
        <v>Salaried</v>
      </c>
      <c r="J777" t="str">
        <f t="shared" ca="1" si="136"/>
        <v>Personal</v>
      </c>
      <c r="K777" t="str">
        <f t="shared" ca="1" si="137"/>
        <v>Approved</v>
      </c>
      <c r="L777">
        <f t="shared" si="138"/>
        <v>971</v>
      </c>
      <c r="M777">
        <f t="shared" ca="1" si="139"/>
        <v>612</v>
      </c>
      <c r="N777">
        <f t="shared" ca="1" si="140"/>
        <v>292</v>
      </c>
      <c r="O777" s="2">
        <f t="shared" ca="1" si="141"/>
        <v>0.63027806385169927</v>
      </c>
    </row>
    <row r="778" spans="1:15" x14ac:dyDescent="0.3">
      <c r="A778" s="3" t="s">
        <v>983</v>
      </c>
      <c r="B778" t="str">
        <f t="shared" ca="1" si="128"/>
        <v>Mr. Raj Kumar</v>
      </c>
      <c r="C778">
        <f t="shared" ca="1" si="129"/>
        <v>57</v>
      </c>
      <c r="D778" t="str">
        <f t="shared" ca="1" si="130"/>
        <v>Male</v>
      </c>
      <c r="E778">
        <f t="shared" ca="1" si="131"/>
        <v>1823093</v>
      </c>
      <c r="F778">
        <f t="shared" ca="1" si="132"/>
        <v>903018</v>
      </c>
      <c r="G778">
        <f t="shared" ca="1" si="133"/>
        <v>60</v>
      </c>
      <c r="H778">
        <f t="shared" ca="1" si="134"/>
        <v>393</v>
      </c>
      <c r="I778" t="str">
        <f t="shared" ca="1" si="135"/>
        <v>Salaried</v>
      </c>
      <c r="J778" t="str">
        <f t="shared" ca="1" si="136"/>
        <v>Home</v>
      </c>
      <c r="K778" t="str">
        <f t="shared" ca="1" si="137"/>
        <v>Approved</v>
      </c>
      <c r="L778">
        <f t="shared" si="138"/>
        <v>971</v>
      </c>
      <c r="M778">
        <f t="shared" ca="1" si="139"/>
        <v>612</v>
      </c>
      <c r="N778">
        <f t="shared" ca="1" si="140"/>
        <v>292</v>
      </c>
      <c r="O778" s="2">
        <f t="shared" ca="1" si="141"/>
        <v>0.63027806385169927</v>
      </c>
    </row>
    <row r="779" spans="1:15" x14ac:dyDescent="0.3">
      <c r="A779" s="3" t="s">
        <v>984</v>
      </c>
      <c r="B779" t="str">
        <f t="shared" ref="B779:B842" ca="1" si="142">CHOOSE(RANDBETWEEN(1,10),
"Mr. Raj Kumar","Ms. Priya Sharma","Mr. Amit Das","Ms. Anjali Singh","Mr. Rohan Gupta",
"Ms. Neha Verma","Mr. Suresh Rao","Ms. Pooja Patel","Mr. Arun Kumar","Ms. Kajal Yadav")</f>
        <v>Ms. Neha Verma</v>
      </c>
      <c r="C779">
        <f t="shared" ref="C779:C842" ca="1" si="143">RANDBETWEEN(21,65)</f>
        <v>41</v>
      </c>
      <c r="D779" t="str">
        <f t="shared" ref="D779:D842" ca="1" si="144">IF(LEFT(B579,3)="Mr.","Male","Female")</f>
        <v>Female</v>
      </c>
      <c r="E779">
        <f t="shared" ref="E779:E842" ca="1" si="145">RANDBETWEEN(200000,2000000)</f>
        <v>945268</v>
      </c>
      <c r="F779">
        <f t="shared" ref="F779:F842" ca="1" si="146">RANDBETWEEN(50000,2500000)</f>
        <v>512068</v>
      </c>
      <c r="G779">
        <f t="shared" ref="G779:G842" ca="1" si="147">CHOOSE(RANDBETWEEN(1,7),12,24,36,48,60,72,84)</f>
        <v>60</v>
      </c>
      <c r="H779">
        <f t="shared" ref="H779:H842" ca="1" si="148">RANDBETWEEN(300,900)</f>
        <v>580</v>
      </c>
      <c r="I779" t="str">
        <f t="shared" ref="I779:I842" ca="1" si="149">CHOOSE(RANDBETWEEN(1,6),
"Salaried","Self-Employed","Business","Freelancer","Student","Contract-Based")</f>
        <v>Self-Employed</v>
      </c>
      <c r="J779" t="str">
        <f t="shared" ref="J779:J842" ca="1" si="150">CHOOSE(RANDBETWEEN(1,5),
"Home","Car","Education","Business","Personal")</f>
        <v>Personal</v>
      </c>
      <c r="K779" t="str">
        <f t="shared" ref="K779:K842" ca="1" si="151">IF(RANDBETWEEN(1,100)&lt;=70,"Approved","Rejected")</f>
        <v>Approved</v>
      </c>
      <c r="L779">
        <f t="shared" si="138"/>
        <v>971</v>
      </c>
      <c r="M779">
        <f t="shared" ca="1" si="139"/>
        <v>612</v>
      </c>
      <c r="N779">
        <f t="shared" ca="1" si="140"/>
        <v>292</v>
      </c>
      <c r="O779" s="2">
        <f t="shared" ca="1" si="141"/>
        <v>0.63027806385169927</v>
      </c>
    </row>
    <row r="780" spans="1:15" x14ac:dyDescent="0.3">
      <c r="A780" s="3" t="s">
        <v>985</v>
      </c>
      <c r="B780" t="str">
        <f t="shared" ca="1" si="142"/>
        <v>Ms. Kajal Yadav</v>
      </c>
      <c r="C780">
        <f t="shared" ca="1" si="143"/>
        <v>58</v>
      </c>
      <c r="D780" t="str">
        <f t="shared" ca="1" si="144"/>
        <v>Male</v>
      </c>
      <c r="E780">
        <f t="shared" ca="1" si="145"/>
        <v>1255604</v>
      </c>
      <c r="F780">
        <f t="shared" ca="1" si="146"/>
        <v>1082121</v>
      </c>
      <c r="G780">
        <f t="shared" ca="1" si="147"/>
        <v>60</v>
      </c>
      <c r="H780">
        <f t="shared" ca="1" si="148"/>
        <v>783</v>
      </c>
      <c r="I780" t="str">
        <f t="shared" ca="1" si="149"/>
        <v>Contract-Based</v>
      </c>
      <c r="J780" t="str">
        <f t="shared" ca="1" si="150"/>
        <v>Education</v>
      </c>
      <c r="K780" t="str">
        <f t="shared" ca="1" si="151"/>
        <v>Rejected</v>
      </c>
      <c r="L780">
        <f t="shared" si="138"/>
        <v>971</v>
      </c>
      <c r="M780">
        <f t="shared" ca="1" si="139"/>
        <v>612</v>
      </c>
      <c r="N780">
        <f t="shared" ca="1" si="140"/>
        <v>292</v>
      </c>
      <c r="O780" s="2">
        <f t="shared" ca="1" si="141"/>
        <v>0.63027806385169927</v>
      </c>
    </row>
    <row r="781" spans="1:15" x14ac:dyDescent="0.3">
      <c r="A781" s="3" t="s">
        <v>986</v>
      </c>
      <c r="B781" t="str">
        <f t="shared" ca="1" si="142"/>
        <v>Ms. Kajal Yadav</v>
      </c>
      <c r="C781">
        <f t="shared" ca="1" si="143"/>
        <v>29</v>
      </c>
      <c r="D781" t="str">
        <f t="shared" ca="1" si="144"/>
        <v>Male</v>
      </c>
      <c r="E781">
        <f t="shared" ca="1" si="145"/>
        <v>896455</v>
      </c>
      <c r="F781">
        <f t="shared" ca="1" si="146"/>
        <v>2327564</v>
      </c>
      <c r="G781">
        <f t="shared" ca="1" si="147"/>
        <v>48</v>
      </c>
      <c r="H781">
        <f t="shared" ca="1" si="148"/>
        <v>659</v>
      </c>
      <c r="I781" t="str">
        <f t="shared" ca="1" si="149"/>
        <v>Contract-Based</v>
      </c>
      <c r="J781" t="str">
        <f t="shared" ca="1" si="150"/>
        <v>Business</v>
      </c>
      <c r="K781" t="str">
        <f t="shared" ca="1" si="151"/>
        <v>Approved</v>
      </c>
      <c r="L781">
        <f t="shared" si="138"/>
        <v>971</v>
      </c>
      <c r="M781">
        <f t="shared" ca="1" si="139"/>
        <v>612</v>
      </c>
      <c r="N781">
        <f t="shared" ca="1" si="140"/>
        <v>292</v>
      </c>
      <c r="O781" s="2">
        <f t="shared" ca="1" si="141"/>
        <v>0.63027806385169927</v>
      </c>
    </row>
    <row r="782" spans="1:15" x14ac:dyDescent="0.3">
      <c r="A782" s="3" t="s">
        <v>987</v>
      </c>
      <c r="B782" t="str">
        <f t="shared" ca="1" si="142"/>
        <v>Ms. Kajal Yadav</v>
      </c>
      <c r="C782">
        <f t="shared" ca="1" si="143"/>
        <v>62</v>
      </c>
      <c r="D782" t="str">
        <f t="shared" ca="1" si="144"/>
        <v>Female</v>
      </c>
      <c r="E782">
        <f t="shared" ca="1" si="145"/>
        <v>1650689</v>
      </c>
      <c r="F782">
        <f t="shared" ca="1" si="146"/>
        <v>981721</v>
      </c>
      <c r="G782">
        <f t="shared" ca="1" si="147"/>
        <v>36</v>
      </c>
      <c r="H782">
        <f t="shared" ca="1" si="148"/>
        <v>379</v>
      </c>
      <c r="I782" t="str">
        <f t="shared" ca="1" si="149"/>
        <v>Student</v>
      </c>
      <c r="J782" t="str">
        <f t="shared" ca="1" si="150"/>
        <v>Business</v>
      </c>
      <c r="K782" t="str">
        <f t="shared" ca="1" si="151"/>
        <v>Approved</v>
      </c>
      <c r="L782">
        <f t="shared" si="138"/>
        <v>971</v>
      </c>
      <c r="M782">
        <f t="shared" ca="1" si="139"/>
        <v>612</v>
      </c>
      <c r="N782">
        <f t="shared" ca="1" si="140"/>
        <v>292</v>
      </c>
      <c r="O782" s="2">
        <f t="shared" ca="1" si="141"/>
        <v>0.63027806385169927</v>
      </c>
    </row>
    <row r="783" spans="1:15" x14ac:dyDescent="0.3">
      <c r="A783" s="3" t="s">
        <v>988</v>
      </c>
      <c r="B783" t="str">
        <f t="shared" ca="1" si="142"/>
        <v>Ms. Neha Verma</v>
      </c>
      <c r="C783">
        <f t="shared" ca="1" si="143"/>
        <v>37</v>
      </c>
      <c r="D783" t="str">
        <f t="shared" ca="1" si="144"/>
        <v>Female</v>
      </c>
      <c r="E783">
        <f t="shared" ca="1" si="145"/>
        <v>716159</v>
      </c>
      <c r="F783">
        <f t="shared" ca="1" si="146"/>
        <v>1814224</v>
      </c>
      <c r="G783">
        <f t="shared" ca="1" si="147"/>
        <v>60</v>
      </c>
      <c r="H783">
        <f t="shared" ca="1" si="148"/>
        <v>491</v>
      </c>
      <c r="I783" t="str">
        <f t="shared" ca="1" si="149"/>
        <v>Freelancer</v>
      </c>
      <c r="J783" t="str">
        <f t="shared" ca="1" si="150"/>
        <v>Business</v>
      </c>
      <c r="K783" t="str">
        <f t="shared" ca="1" si="151"/>
        <v>Approved</v>
      </c>
      <c r="L783">
        <f t="shared" si="138"/>
        <v>971</v>
      </c>
      <c r="M783">
        <f t="shared" ca="1" si="139"/>
        <v>612</v>
      </c>
      <c r="N783">
        <f t="shared" ca="1" si="140"/>
        <v>292</v>
      </c>
      <c r="O783" s="2">
        <f t="shared" ca="1" si="141"/>
        <v>0.63027806385169927</v>
      </c>
    </row>
    <row r="784" spans="1:15" x14ac:dyDescent="0.3">
      <c r="A784" s="3" t="s">
        <v>989</v>
      </c>
      <c r="B784" t="str">
        <f t="shared" ca="1" si="142"/>
        <v>Ms. Priya Sharma</v>
      </c>
      <c r="C784">
        <f t="shared" ca="1" si="143"/>
        <v>61</v>
      </c>
      <c r="D784" t="str">
        <f t="shared" ca="1" si="144"/>
        <v>Female</v>
      </c>
      <c r="E784">
        <f t="shared" ca="1" si="145"/>
        <v>507899</v>
      </c>
      <c r="F784">
        <f t="shared" ca="1" si="146"/>
        <v>456747</v>
      </c>
      <c r="G784">
        <f t="shared" ca="1" si="147"/>
        <v>36</v>
      </c>
      <c r="H784">
        <f t="shared" ca="1" si="148"/>
        <v>719</v>
      </c>
      <c r="I784" t="str">
        <f t="shared" ca="1" si="149"/>
        <v>Contract-Based</v>
      </c>
      <c r="J784" t="str">
        <f t="shared" ca="1" si="150"/>
        <v>Home</v>
      </c>
      <c r="K784" t="str">
        <f t="shared" ca="1" si="151"/>
        <v>Rejected</v>
      </c>
      <c r="L784">
        <f t="shared" si="138"/>
        <v>971</v>
      </c>
      <c r="M784">
        <f t="shared" ca="1" si="139"/>
        <v>612</v>
      </c>
      <c r="N784">
        <f t="shared" ca="1" si="140"/>
        <v>292</v>
      </c>
      <c r="O784" s="2">
        <f t="shared" ca="1" si="141"/>
        <v>0.63027806385169927</v>
      </c>
    </row>
    <row r="785" spans="1:15" x14ac:dyDescent="0.3">
      <c r="A785" s="3" t="s">
        <v>990</v>
      </c>
      <c r="B785" t="str">
        <f t="shared" ca="1" si="142"/>
        <v>Ms. Kajal Yadav</v>
      </c>
      <c r="C785">
        <f t="shared" ca="1" si="143"/>
        <v>25</v>
      </c>
      <c r="D785" t="str">
        <f t="shared" ca="1" si="144"/>
        <v>Male</v>
      </c>
      <c r="E785">
        <f t="shared" ca="1" si="145"/>
        <v>1878163</v>
      </c>
      <c r="F785">
        <f t="shared" ca="1" si="146"/>
        <v>323344</v>
      </c>
      <c r="G785">
        <f t="shared" ca="1" si="147"/>
        <v>60</v>
      </c>
      <c r="H785">
        <f t="shared" ca="1" si="148"/>
        <v>479</v>
      </c>
      <c r="I785" t="str">
        <f t="shared" ca="1" si="149"/>
        <v>Student</v>
      </c>
      <c r="J785" t="str">
        <f t="shared" ca="1" si="150"/>
        <v>Business</v>
      </c>
      <c r="K785" t="str">
        <f t="shared" ca="1" si="151"/>
        <v>Approved</v>
      </c>
      <c r="L785">
        <f t="shared" si="138"/>
        <v>971</v>
      </c>
      <c r="M785">
        <f t="shared" ca="1" si="139"/>
        <v>612</v>
      </c>
      <c r="N785">
        <f t="shared" ca="1" si="140"/>
        <v>292</v>
      </c>
      <c r="O785" s="2">
        <f t="shared" ca="1" si="141"/>
        <v>0.63027806385169927</v>
      </c>
    </row>
    <row r="786" spans="1:15" x14ac:dyDescent="0.3">
      <c r="A786" s="3" t="s">
        <v>991</v>
      </c>
      <c r="B786" t="str">
        <f t="shared" ca="1" si="142"/>
        <v>Mr. Rohan Gupta</v>
      </c>
      <c r="C786">
        <f t="shared" ca="1" si="143"/>
        <v>27</v>
      </c>
      <c r="D786" t="str">
        <f t="shared" ca="1" si="144"/>
        <v>Female</v>
      </c>
      <c r="E786">
        <f t="shared" ca="1" si="145"/>
        <v>817336</v>
      </c>
      <c r="F786">
        <f t="shared" ca="1" si="146"/>
        <v>1997417</v>
      </c>
      <c r="G786">
        <f t="shared" ca="1" si="147"/>
        <v>24</v>
      </c>
      <c r="H786">
        <f t="shared" ca="1" si="148"/>
        <v>684</v>
      </c>
      <c r="I786" t="str">
        <f t="shared" ca="1" si="149"/>
        <v>Business</v>
      </c>
      <c r="J786" t="str">
        <f t="shared" ca="1" si="150"/>
        <v>Education</v>
      </c>
      <c r="K786" t="str">
        <f t="shared" ca="1" si="151"/>
        <v>Rejected</v>
      </c>
      <c r="L786">
        <f t="shared" si="138"/>
        <v>971</v>
      </c>
      <c r="M786">
        <f t="shared" ca="1" si="139"/>
        <v>612</v>
      </c>
      <c r="N786">
        <f t="shared" ca="1" si="140"/>
        <v>292</v>
      </c>
      <c r="O786" s="2">
        <f t="shared" ca="1" si="141"/>
        <v>0.63027806385169927</v>
      </c>
    </row>
    <row r="787" spans="1:15" x14ac:dyDescent="0.3">
      <c r="A787" s="3" t="s">
        <v>992</v>
      </c>
      <c r="B787" t="str">
        <f t="shared" ca="1" si="142"/>
        <v>Ms. Pooja Patel</v>
      </c>
      <c r="C787">
        <f t="shared" ca="1" si="143"/>
        <v>57</v>
      </c>
      <c r="D787" t="str">
        <f t="shared" ca="1" si="144"/>
        <v>Male</v>
      </c>
      <c r="E787">
        <f t="shared" ca="1" si="145"/>
        <v>1835538</v>
      </c>
      <c r="F787">
        <f t="shared" ca="1" si="146"/>
        <v>2313534</v>
      </c>
      <c r="G787">
        <f t="shared" ca="1" si="147"/>
        <v>36</v>
      </c>
      <c r="H787">
        <f t="shared" ca="1" si="148"/>
        <v>488</v>
      </c>
      <c r="I787" t="str">
        <f t="shared" ca="1" si="149"/>
        <v>Contract-Based</v>
      </c>
      <c r="J787" t="str">
        <f t="shared" ca="1" si="150"/>
        <v>Home</v>
      </c>
      <c r="K787" t="str">
        <f t="shared" ca="1" si="151"/>
        <v>Approved</v>
      </c>
      <c r="L787">
        <f t="shared" si="138"/>
        <v>971</v>
      </c>
      <c r="M787">
        <f t="shared" ca="1" si="139"/>
        <v>612</v>
      </c>
      <c r="N787">
        <f t="shared" ca="1" si="140"/>
        <v>292</v>
      </c>
      <c r="O787" s="2">
        <f t="shared" ca="1" si="141"/>
        <v>0.63027806385169927</v>
      </c>
    </row>
    <row r="788" spans="1:15" x14ac:dyDescent="0.3">
      <c r="A788" s="3" t="s">
        <v>993</v>
      </c>
      <c r="B788" t="str">
        <f t="shared" ca="1" si="142"/>
        <v>Mr. Amit Das</v>
      </c>
      <c r="C788">
        <f t="shared" ca="1" si="143"/>
        <v>30</v>
      </c>
      <c r="D788" t="str">
        <f t="shared" ca="1" si="144"/>
        <v>Male</v>
      </c>
      <c r="E788">
        <f t="shared" ca="1" si="145"/>
        <v>1210436</v>
      </c>
      <c r="F788">
        <f t="shared" ca="1" si="146"/>
        <v>2059337</v>
      </c>
      <c r="G788">
        <f t="shared" ca="1" si="147"/>
        <v>36</v>
      </c>
      <c r="H788">
        <f t="shared" ca="1" si="148"/>
        <v>581</v>
      </c>
      <c r="I788" t="str">
        <f t="shared" ca="1" si="149"/>
        <v>Contract-Based</v>
      </c>
      <c r="J788" t="str">
        <f t="shared" ca="1" si="150"/>
        <v>Car</v>
      </c>
      <c r="K788" t="str">
        <f t="shared" ca="1" si="151"/>
        <v>Rejected</v>
      </c>
      <c r="L788">
        <f t="shared" si="138"/>
        <v>971</v>
      </c>
      <c r="M788">
        <f t="shared" ca="1" si="139"/>
        <v>612</v>
      </c>
      <c r="N788">
        <f t="shared" ca="1" si="140"/>
        <v>292</v>
      </c>
      <c r="O788" s="2">
        <f t="shared" ca="1" si="141"/>
        <v>0.63027806385169927</v>
      </c>
    </row>
    <row r="789" spans="1:15" x14ac:dyDescent="0.3">
      <c r="A789" s="3" t="s">
        <v>994</v>
      </c>
      <c r="B789" t="str">
        <f t="shared" ca="1" si="142"/>
        <v>Ms. Neha Verma</v>
      </c>
      <c r="C789">
        <f t="shared" ca="1" si="143"/>
        <v>35</v>
      </c>
      <c r="D789" t="str">
        <f t="shared" ca="1" si="144"/>
        <v>Female</v>
      </c>
      <c r="E789">
        <f t="shared" ca="1" si="145"/>
        <v>1363046</v>
      </c>
      <c r="F789">
        <f t="shared" ca="1" si="146"/>
        <v>2143652</v>
      </c>
      <c r="G789">
        <f t="shared" ca="1" si="147"/>
        <v>72</v>
      </c>
      <c r="H789">
        <f t="shared" ca="1" si="148"/>
        <v>897</v>
      </c>
      <c r="I789" t="str">
        <f t="shared" ca="1" si="149"/>
        <v>Student</v>
      </c>
      <c r="J789" t="str">
        <f t="shared" ca="1" si="150"/>
        <v>Education</v>
      </c>
      <c r="K789" t="str">
        <f t="shared" ca="1" si="151"/>
        <v>Approved</v>
      </c>
      <c r="L789">
        <f t="shared" si="138"/>
        <v>971</v>
      </c>
      <c r="M789">
        <f t="shared" ca="1" si="139"/>
        <v>612</v>
      </c>
      <c r="N789">
        <f t="shared" ca="1" si="140"/>
        <v>292</v>
      </c>
      <c r="O789" s="2">
        <f t="shared" ca="1" si="141"/>
        <v>0.63027806385169927</v>
      </c>
    </row>
    <row r="790" spans="1:15" x14ac:dyDescent="0.3">
      <c r="A790" s="3" t="s">
        <v>995</v>
      </c>
      <c r="B790" t="str">
        <f t="shared" ca="1" si="142"/>
        <v>Mr. Rohan Gupta</v>
      </c>
      <c r="C790">
        <f t="shared" ca="1" si="143"/>
        <v>36</v>
      </c>
      <c r="D790" t="str">
        <f t="shared" ca="1" si="144"/>
        <v>Male</v>
      </c>
      <c r="E790">
        <f t="shared" ca="1" si="145"/>
        <v>1691505</v>
      </c>
      <c r="F790">
        <f t="shared" ca="1" si="146"/>
        <v>242271</v>
      </c>
      <c r="G790">
        <f t="shared" ca="1" si="147"/>
        <v>72</v>
      </c>
      <c r="H790">
        <f t="shared" ca="1" si="148"/>
        <v>387</v>
      </c>
      <c r="I790" t="str">
        <f t="shared" ca="1" si="149"/>
        <v>Self-Employed</v>
      </c>
      <c r="J790" t="str">
        <f t="shared" ca="1" si="150"/>
        <v>Education</v>
      </c>
      <c r="K790" t="str">
        <f t="shared" ca="1" si="151"/>
        <v>Approved</v>
      </c>
      <c r="L790">
        <f t="shared" si="138"/>
        <v>971</v>
      </c>
      <c r="M790">
        <f t="shared" ca="1" si="139"/>
        <v>612</v>
      </c>
      <c r="N790">
        <f t="shared" ca="1" si="140"/>
        <v>292</v>
      </c>
      <c r="O790" s="2">
        <f t="shared" ca="1" si="141"/>
        <v>0.63027806385169927</v>
      </c>
    </row>
    <row r="791" spans="1:15" x14ac:dyDescent="0.3">
      <c r="A791" s="3" t="s">
        <v>996</v>
      </c>
      <c r="B791" t="str">
        <f t="shared" ca="1" si="142"/>
        <v>Ms. Neha Verma</v>
      </c>
      <c r="C791">
        <f t="shared" ca="1" si="143"/>
        <v>63</v>
      </c>
      <c r="D791" t="str">
        <f t="shared" ca="1" si="144"/>
        <v>Female</v>
      </c>
      <c r="E791">
        <f t="shared" ca="1" si="145"/>
        <v>1349279</v>
      </c>
      <c r="F791">
        <f t="shared" ca="1" si="146"/>
        <v>1212177</v>
      </c>
      <c r="G791">
        <f t="shared" ca="1" si="147"/>
        <v>60</v>
      </c>
      <c r="H791">
        <f t="shared" ca="1" si="148"/>
        <v>725</v>
      </c>
      <c r="I791" t="str">
        <f t="shared" ca="1" si="149"/>
        <v>Self-Employed</v>
      </c>
      <c r="J791" t="str">
        <f t="shared" ca="1" si="150"/>
        <v>Education</v>
      </c>
      <c r="K791" t="str">
        <f t="shared" ca="1" si="151"/>
        <v>Approved</v>
      </c>
      <c r="L791">
        <f t="shared" si="138"/>
        <v>971</v>
      </c>
      <c r="M791">
        <f t="shared" ca="1" si="139"/>
        <v>612</v>
      </c>
      <c r="N791">
        <f t="shared" ca="1" si="140"/>
        <v>292</v>
      </c>
      <c r="O791" s="2">
        <f t="shared" ca="1" si="141"/>
        <v>0.63027806385169927</v>
      </c>
    </row>
    <row r="792" spans="1:15" x14ac:dyDescent="0.3">
      <c r="A792" s="3" t="s">
        <v>997</v>
      </c>
      <c r="B792" t="str">
        <f t="shared" ca="1" si="142"/>
        <v>Mr. Arun Kumar</v>
      </c>
      <c r="C792">
        <f t="shared" ca="1" si="143"/>
        <v>57</v>
      </c>
      <c r="D792" t="str">
        <f t="shared" ca="1" si="144"/>
        <v>Female</v>
      </c>
      <c r="E792">
        <f t="shared" ca="1" si="145"/>
        <v>329159</v>
      </c>
      <c r="F792">
        <f t="shared" ca="1" si="146"/>
        <v>1288096</v>
      </c>
      <c r="G792">
        <f t="shared" ca="1" si="147"/>
        <v>24</v>
      </c>
      <c r="H792">
        <f t="shared" ca="1" si="148"/>
        <v>518</v>
      </c>
      <c r="I792" t="str">
        <f t="shared" ca="1" si="149"/>
        <v>Student</v>
      </c>
      <c r="J792" t="str">
        <f t="shared" ca="1" si="150"/>
        <v>Home</v>
      </c>
      <c r="K792" t="str">
        <f t="shared" ca="1" si="151"/>
        <v>Approved</v>
      </c>
      <c r="L792">
        <f t="shared" si="138"/>
        <v>971</v>
      </c>
      <c r="M792">
        <f t="shared" ca="1" si="139"/>
        <v>612</v>
      </c>
      <c r="N792">
        <f t="shared" ca="1" si="140"/>
        <v>292</v>
      </c>
      <c r="O792" s="2">
        <f t="shared" ca="1" si="141"/>
        <v>0.63027806385169927</v>
      </c>
    </row>
    <row r="793" spans="1:15" x14ac:dyDescent="0.3">
      <c r="A793" s="3" t="s">
        <v>998</v>
      </c>
      <c r="B793" t="str">
        <f t="shared" ca="1" si="142"/>
        <v>Mr. Rohan Gupta</v>
      </c>
      <c r="C793">
        <f t="shared" ca="1" si="143"/>
        <v>23</v>
      </c>
      <c r="D793" t="str">
        <f t="shared" ca="1" si="144"/>
        <v>Female</v>
      </c>
      <c r="E793">
        <f t="shared" ca="1" si="145"/>
        <v>1911310</v>
      </c>
      <c r="F793">
        <f t="shared" ca="1" si="146"/>
        <v>2390252</v>
      </c>
      <c r="G793">
        <f t="shared" ca="1" si="147"/>
        <v>36</v>
      </c>
      <c r="H793">
        <f t="shared" ca="1" si="148"/>
        <v>893</v>
      </c>
      <c r="I793" t="str">
        <f t="shared" ca="1" si="149"/>
        <v>Freelancer</v>
      </c>
      <c r="J793" t="str">
        <f t="shared" ca="1" si="150"/>
        <v>Education</v>
      </c>
      <c r="K793" t="str">
        <f t="shared" ca="1" si="151"/>
        <v>Approved</v>
      </c>
      <c r="L793">
        <f t="shared" si="138"/>
        <v>971</v>
      </c>
      <c r="M793">
        <f t="shared" ca="1" si="139"/>
        <v>612</v>
      </c>
      <c r="N793">
        <f t="shared" ca="1" si="140"/>
        <v>292</v>
      </c>
      <c r="O793" s="2">
        <f t="shared" ca="1" si="141"/>
        <v>0.63027806385169927</v>
      </c>
    </row>
    <row r="794" spans="1:15" x14ac:dyDescent="0.3">
      <c r="A794" s="3" t="s">
        <v>999</v>
      </c>
      <c r="B794" t="str">
        <f t="shared" ca="1" si="142"/>
        <v>Ms. Kajal Yadav</v>
      </c>
      <c r="C794">
        <f t="shared" ca="1" si="143"/>
        <v>54</v>
      </c>
      <c r="D794" t="str">
        <f t="shared" ca="1" si="144"/>
        <v>Male</v>
      </c>
      <c r="E794">
        <f t="shared" ca="1" si="145"/>
        <v>1366241</v>
      </c>
      <c r="F794">
        <f t="shared" ca="1" si="146"/>
        <v>78203</v>
      </c>
      <c r="G794">
        <f t="shared" ca="1" si="147"/>
        <v>36</v>
      </c>
      <c r="H794">
        <f t="shared" ca="1" si="148"/>
        <v>664</v>
      </c>
      <c r="I794" t="str">
        <f t="shared" ca="1" si="149"/>
        <v>Self-Employed</v>
      </c>
      <c r="J794" t="str">
        <f t="shared" ca="1" si="150"/>
        <v>Home</v>
      </c>
      <c r="K794" t="str">
        <f t="shared" ca="1" si="151"/>
        <v>Approved</v>
      </c>
      <c r="L794">
        <f t="shared" si="138"/>
        <v>971</v>
      </c>
      <c r="M794">
        <f t="shared" ca="1" si="139"/>
        <v>612</v>
      </c>
      <c r="N794">
        <f t="shared" ca="1" si="140"/>
        <v>292</v>
      </c>
      <c r="O794" s="2">
        <f t="shared" ca="1" si="141"/>
        <v>0.63027806385169927</v>
      </c>
    </row>
    <row r="795" spans="1:15" x14ac:dyDescent="0.3">
      <c r="A795" s="3" t="s">
        <v>1000</v>
      </c>
      <c r="B795" t="str">
        <f t="shared" ca="1" si="142"/>
        <v>Mr. Raj Kumar</v>
      </c>
      <c r="C795">
        <f t="shared" ca="1" si="143"/>
        <v>45</v>
      </c>
      <c r="D795" t="str">
        <f t="shared" ca="1" si="144"/>
        <v>Male</v>
      </c>
      <c r="E795">
        <f t="shared" ca="1" si="145"/>
        <v>1017596</v>
      </c>
      <c r="F795">
        <f t="shared" ca="1" si="146"/>
        <v>1656025</v>
      </c>
      <c r="G795">
        <f t="shared" ca="1" si="147"/>
        <v>36</v>
      </c>
      <c r="H795">
        <f t="shared" ca="1" si="148"/>
        <v>599</v>
      </c>
      <c r="I795" t="str">
        <f t="shared" ca="1" si="149"/>
        <v>Self-Employed</v>
      </c>
      <c r="J795" t="str">
        <f t="shared" ca="1" si="150"/>
        <v>Car</v>
      </c>
      <c r="K795" t="str">
        <f t="shared" ca="1" si="151"/>
        <v>Rejected</v>
      </c>
      <c r="L795">
        <f t="shared" si="138"/>
        <v>971</v>
      </c>
      <c r="M795">
        <f t="shared" ca="1" si="139"/>
        <v>612</v>
      </c>
      <c r="N795">
        <f t="shared" ca="1" si="140"/>
        <v>292</v>
      </c>
      <c r="O795" s="2">
        <f t="shared" ca="1" si="141"/>
        <v>0.63027806385169927</v>
      </c>
    </row>
    <row r="796" spans="1:15" x14ac:dyDescent="0.3">
      <c r="A796" s="3" t="s">
        <v>1001</v>
      </c>
      <c r="B796" t="str">
        <f t="shared" ca="1" si="142"/>
        <v>Ms. Pooja Patel</v>
      </c>
      <c r="C796">
        <f t="shared" ca="1" si="143"/>
        <v>59</v>
      </c>
      <c r="D796" t="str">
        <f t="shared" ca="1" si="144"/>
        <v>Female</v>
      </c>
      <c r="E796">
        <f t="shared" ca="1" si="145"/>
        <v>1453387</v>
      </c>
      <c r="F796">
        <f t="shared" ca="1" si="146"/>
        <v>686723</v>
      </c>
      <c r="G796">
        <f t="shared" ca="1" si="147"/>
        <v>72</v>
      </c>
      <c r="H796">
        <f t="shared" ca="1" si="148"/>
        <v>805</v>
      </c>
      <c r="I796" t="str">
        <f t="shared" ca="1" si="149"/>
        <v>Contract-Based</v>
      </c>
      <c r="J796" t="str">
        <f t="shared" ca="1" si="150"/>
        <v>Education</v>
      </c>
      <c r="K796" t="str">
        <f t="shared" ca="1" si="151"/>
        <v>Approved</v>
      </c>
      <c r="L796">
        <f t="shared" si="138"/>
        <v>971</v>
      </c>
      <c r="M796">
        <f t="shared" ca="1" si="139"/>
        <v>612</v>
      </c>
      <c r="N796">
        <f t="shared" ca="1" si="140"/>
        <v>292</v>
      </c>
      <c r="O796" s="2">
        <f t="shared" ca="1" si="141"/>
        <v>0.63027806385169927</v>
      </c>
    </row>
    <row r="797" spans="1:15" x14ac:dyDescent="0.3">
      <c r="A797" s="3" t="s">
        <v>1002</v>
      </c>
      <c r="B797" t="str">
        <f t="shared" ca="1" si="142"/>
        <v>Ms. Kajal Yadav</v>
      </c>
      <c r="C797">
        <f t="shared" ca="1" si="143"/>
        <v>45</v>
      </c>
      <c r="D797" t="str">
        <f t="shared" ca="1" si="144"/>
        <v>Female</v>
      </c>
      <c r="E797">
        <f t="shared" ca="1" si="145"/>
        <v>396046</v>
      </c>
      <c r="F797">
        <f t="shared" ca="1" si="146"/>
        <v>1382394</v>
      </c>
      <c r="G797">
        <f t="shared" ca="1" si="147"/>
        <v>24</v>
      </c>
      <c r="H797">
        <f t="shared" ca="1" si="148"/>
        <v>833</v>
      </c>
      <c r="I797" t="str">
        <f t="shared" ca="1" si="149"/>
        <v>Salaried</v>
      </c>
      <c r="J797" t="str">
        <f t="shared" ca="1" si="150"/>
        <v>Education</v>
      </c>
      <c r="K797" t="str">
        <f t="shared" ca="1" si="151"/>
        <v>Rejected</v>
      </c>
      <c r="L797">
        <f t="shared" si="138"/>
        <v>971</v>
      </c>
      <c r="M797">
        <f t="shared" ca="1" si="139"/>
        <v>612</v>
      </c>
      <c r="N797">
        <f t="shared" ca="1" si="140"/>
        <v>292</v>
      </c>
      <c r="O797" s="2">
        <f t="shared" ca="1" si="141"/>
        <v>0.63027806385169927</v>
      </c>
    </row>
    <row r="798" spans="1:15" x14ac:dyDescent="0.3">
      <c r="A798" s="3" t="s">
        <v>1003</v>
      </c>
      <c r="B798" t="str">
        <f t="shared" ca="1" si="142"/>
        <v>Mr. Amit Das</v>
      </c>
      <c r="C798">
        <f t="shared" ca="1" si="143"/>
        <v>25</v>
      </c>
      <c r="D798" t="str">
        <f t="shared" ca="1" si="144"/>
        <v>Female</v>
      </c>
      <c r="E798">
        <f t="shared" ca="1" si="145"/>
        <v>1614587</v>
      </c>
      <c r="F798">
        <f t="shared" ca="1" si="146"/>
        <v>741725</v>
      </c>
      <c r="G798">
        <f t="shared" ca="1" si="147"/>
        <v>72</v>
      </c>
      <c r="H798">
        <f t="shared" ca="1" si="148"/>
        <v>500</v>
      </c>
      <c r="I798" t="str">
        <f t="shared" ca="1" si="149"/>
        <v>Business</v>
      </c>
      <c r="J798" t="str">
        <f t="shared" ca="1" si="150"/>
        <v>Education</v>
      </c>
      <c r="K798" t="str">
        <f t="shared" ca="1" si="151"/>
        <v>Rejected</v>
      </c>
      <c r="L798">
        <f t="shared" si="138"/>
        <v>971</v>
      </c>
      <c r="M798">
        <f t="shared" ca="1" si="139"/>
        <v>612</v>
      </c>
      <c r="N798">
        <f t="shared" ca="1" si="140"/>
        <v>292</v>
      </c>
      <c r="O798" s="2">
        <f t="shared" ca="1" si="141"/>
        <v>0.63027806385169927</v>
      </c>
    </row>
    <row r="799" spans="1:15" x14ac:dyDescent="0.3">
      <c r="A799" s="3" t="s">
        <v>1004</v>
      </c>
      <c r="B799" t="str">
        <f t="shared" ca="1" si="142"/>
        <v>Mr. Raj Kumar</v>
      </c>
      <c r="C799">
        <f t="shared" ca="1" si="143"/>
        <v>43</v>
      </c>
      <c r="D799" t="str">
        <f t="shared" ca="1" si="144"/>
        <v>Female</v>
      </c>
      <c r="E799">
        <f t="shared" ca="1" si="145"/>
        <v>916657</v>
      </c>
      <c r="F799">
        <f t="shared" ca="1" si="146"/>
        <v>177038</v>
      </c>
      <c r="G799">
        <f t="shared" ca="1" si="147"/>
        <v>72</v>
      </c>
      <c r="H799">
        <f t="shared" ca="1" si="148"/>
        <v>779</v>
      </c>
      <c r="I799" t="str">
        <f t="shared" ca="1" si="149"/>
        <v>Student</v>
      </c>
      <c r="J799" t="str">
        <f t="shared" ca="1" si="150"/>
        <v>Personal</v>
      </c>
      <c r="K799" t="str">
        <f t="shared" ca="1" si="151"/>
        <v>Approved</v>
      </c>
      <c r="L799">
        <f t="shared" si="138"/>
        <v>971</v>
      </c>
      <c r="M799">
        <f t="shared" ca="1" si="139"/>
        <v>612</v>
      </c>
      <c r="N799">
        <f t="shared" ca="1" si="140"/>
        <v>292</v>
      </c>
      <c r="O799" s="2">
        <f t="shared" ca="1" si="141"/>
        <v>0.63027806385169927</v>
      </c>
    </row>
    <row r="800" spans="1:15" x14ac:dyDescent="0.3">
      <c r="A800" s="3" t="s">
        <v>1005</v>
      </c>
      <c r="B800" t="str">
        <f t="shared" ca="1" si="142"/>
        <v>Ms. Kajal Yadav</v>
      </c>
      <c r="C800">
        <f t="shared" ca="1" si="143"/>
        <v>40</v>
      </c>
      <c r="D800" t="str">
        <f t="shared" ca="1" si="144"/>
        <v>Female</v>
      </c>
      <c r="E800">
        <f t="shared" ca="1" si="145"/>
        <v>1510217</v>
      </c>
      <c r="F800">
        <f t="shared" ca="1" si="146"/>
        <v>1316700</v>
      </c>
      <c r="G800">
        <f t="shared" ca="1" si="147"/>
        <v>36</v>
      </c>
      <c r="H800">
        <f t="shared" ca="1" si="148"/>
        <v>818</v>
      </c>
      <c r="I800" t="str">
        <f t="shared" ca="1" si="149"/>
        <v>Self-Employed</v>
      </c>
      <c r="J800" t="str">
        <f t="shared" ca="1" si="150"/>
        <v>Personal</v>
      </c>
      <c r="K800" t="str">
        <f t="shared" ca="1" si="151"/>
        <v>Approved</v>
      </c>
      <c r="L800">
        <f t="shared" si="138"/>
        <v>971</v>
      </c>
      <c r="M800">
        <f t="shared" ca="1" si="139"/>
        <v>612</v>
      </c>
      <c r="N800">
        <f t="shared" ca="1" si="140"/>
        <v>292</v>
      </c>
      <c r="O800" s="2">
        <f t="shared" ca="1" si="141"/>
        <v>0.63027806385169927</v>
      </c>
    </row>
    <row r="801" spans="1:15" x14ac:dyDescent="0.3">
      <c r="A801" s="3" t="s">
        <v>1006</v>
      </c>
      <c r="B801" t="str">
        <f t="shared" ca="1" si="142"/>
        <v>Mr. Arun Kumar</v>
      </c>
      <c r="C801">
        <f t="shared" ca="1" si="143"/>
        <v>22</v>
      </c>
      <c r="D801" t="str">
        <f t="shared" ca="1" si="144"/>
        <v>Female</v>
      </c>
      <c r="E801">
        <f t="shared" ca="1" si="145"/>
        <v>1531215</v>
      </c>
      <c r="F801">
        <f t="shared" ca="1" si="146"/>
        <v>1683404</v>
      </c>
      <c r="G801">
        <f t="shared" ca="1" si="147"/>
        <v>24</v>
      </c>
      <c r="H801">
        <f t="shared" ca="1" si="148"/>
        <v>461</v>
      </c>
      <c r="I801" t="str">
        <f t="shared" ca="1" si="149"/>
        <v>Contract-Based</v>
      </c>
      <c r="J801" t="str">
        <f t="shared" ca="1" si="150"/>
        <v>Car</v>
      </c>
      <c r="K801" t="str">
        <f t="shared" ca="1" si="151"/>
        <v>Approved</v>
      </c>
      <c r="L801">
        <f t="shared" si="138"/>
        <v>971</v>
      </c>
      <c r="M801">
        <f t="shared" ca="1" si="139"/>
        <v>612</v>
      </c>
      <c r="N801">
        <f t="shared" ca="1" si="140"/>
        <v>292</v>
      </c>
      <c r="O801" s="2">
        <f t="shared" ca="1" si="141"/>
        <v>0.63027806385169927</v>
      </c>
    </row>
    <row r="802" spans="1:15" x14ac:dyDescent="0.3">
      <c r="A802" s="3" t="s">
        <v>1007</v>
      </c>
      <c r="B802" t="str">
        <f t="shared" ca="1" si="142"/>
        <v>Mr. Amit Das</v>
      </c>
      <c r="C802">
        <f t="shared" ca="1" si="143"/>
        <v>45</v>
      </c>
      <c r="D802" t="str">
        <f t="shared" ca="1" si="144"/>
        <v>Female</v>
      </c>
      <c r="E802">
        <f t="shared" ca="1" si="145"/>
        <v>1199069</v>
      </c>
      <c r="F802">
        <f t="shared" ca="1" si="146"/>
        <v>2190684</v>
      </c>
      <c r="G802">
        <f t="shared" ca="1" si="147"/>
        <v>48</v>
      </c>
      <c r="H802">
        <f t="shared" ca="1" si="148"/>
        <v>739</v>
      </c>
      <c r="I802" t="str">
        <f t="shared" ca="1" si="149"/>
        <v>Freelancer</v>
      </c>
      <c r="J802" t="str">
        <f t="shared" ca="1" si="150"/>
        <v>Personal</v>
      </c>
      <c r="K802" t="str">
        <f t="shared" ca="1" si="151"/>
        <v>Rejected</v>
      </c>
      <c r="L802">
        <f t="shared" si="138"/>
        <v>971</v>
      </c>
      <c r="M802">
        <f t="shared" ca="1" si="139"/>
        <v>612</v>
      </c>
      <c r="N802">
        <f t="shared" ca="1" si="140"/>
        <v>292</v>
      </c>
      <c r="O802" s="2">
        <f t="shared" ca="1" si="141"/>
        <v>0.63027806385169927</v>
      </c>
    </row>
    <row r="803" spans="1:15" x14ac:dyDescent="0.3">
      <c r="A803" s="3" t="s">
        <v>1008</v>
      </c>
      <c r="B803" t="str">
        <f t="shared" ca="1" si="142"/>
        <v>Mr. Rohan Gupta</v>
      </c>
      <c r="C803">
        <f t="shared" ca="1" si="143"/>
        <v>31</v>
      </c>
      <c r="D803" t="str">
        <f t="shared" ca="1" si="144"/>
        <v>Male</v>
      </c>
      <c r="E803">
        <f t="shared" ca="1" si="145"/>
        <v>685921</v>
      </c>
      <c r="F803">
        <f t="shared" ca="1" si="146"/>
        <v>2473558</v>
      </c>
      <c r="G803">
        <f t="shared" ca="1" si="147"/>
        <v>60</v>
      </c>
      <c r="H803">
        <f t="shared" ca="1" si="148"/>
        <v>390</v>
      </c>
      <c r="I803" t="str">
        <f t="shared" ca="1" si="149"/>
        <v>Freelancer</v>
      </c>
      <c r="J803" t="str">
        <f t="shared" ca="1" si="150"/>
        <v>Home</v>
      </c>
      <c r="K803" t="str">
        <f t="shared" ca="1" si="151"/>
        <v>Rejected</v>
      </c>
      <c r="L803">
        <f t="shared" si="138"/>
        <v>971</v>
      </c>
      <c r="M803">
        <f t="shared" ca="1" si="139"/>
        <v>612</v>
      </c>
      <c r="N803">
        <f t="shared" ca="1" si="140"/>
        <v>292</v>
      </c>
      <c r="O803" s="2">
        <f t="shared" ca="1" si="141"/>
        <v>0.63027806385169927</v>
      </c>
    </row>
    <row r="804" spans="1:15" x14ac:dyDescent="0.3">
      <c r="A804" s="3" t="s">
        <v>1009</v>
      </c>
      <c r="B804" t="str">
        <f t="shared" ca="1" si="142"/>
        <v>Mr. Rohan Gupta</v>
      </c>
      <c r="C804">
        <f t="shared" ca="1" si="143"/>
        <v>46</v>
      </c>
      <c r="D804" t="str">
        <f t="shared" ca="1" si="144"/>
        <v>Female</v>
      </c>
      <c r="E804">
        <f t="shared" ca="1" si="145"/>
        <v>741014</v>
      </c>
      <c r="F804">
        <f t="shared" ca="1" si="146"/>
        <v>1047813</v>
      </c>
      <c r="G804">
        <f t="shared" ca="1" si="147"/>
        <v>24</v>
      </c>
      <c r="H804">
        <f t="shared" ca="1" si="148"/>
        <v>583</v>
      </c>
      <c r="I804" t="str">
        <f t="shared" ca="1" si="149"/>
        <v>Student</v>
      </c>
      <c r="J804" t="str">
        <f t="shared" ca="1" si="150"/>
        <v>Business</v>
      </c>
      <c r="K804" t="str">
        <f t="shared" ca="1" si="151"/>
        <v>Rejected</v>
      </c>
      <c r="L804">
        <f t="shared" si="138"/>
        <v>971</v>
      </c>
      <c r="M804">
        <f t="shared" ca="1" si="139"/>
        <v>612</v>
      </c>
      <c r="N804">
        <f t="shared" ca="1" si="140"/>
        <v>292</v>
      </c>
      <c r="O804" s="2">
        <f t="shared" ca="1" si="141"/>
        <v>0.63027806385169927</v>
      </c>
    </row>
    <row r="805" spans="1:15" x14ac:dyDescent="0.3">
      <c r="A805" s="3" t="s">
        <v>1010</v>
      </c>
      <c r="B805" t="str">
        <f t="shared" ca="1" si="142"/>
        <v>Ms. Pooja Patel</v>
      </c>
      <c r="C805">
        <f t="shared" ca="1" si="143"/>
        <v>45</v>
      </c>
      <c r="D805" t="str">
        <f t="shared" ca="1" si="144"/>
        <v>Female</v>
      </c>
      <c r="E805">
        <f t="shared" ca="1" si="145"/>
        <v>1774004</v>
      </c>
      <c r="F805">
        <f t="shared" ca="1" si="146"/>
        <v>454032</v>
      </c>
      <c r="G805">
        <f t="shared" ca="1" si="147"/>
        <v>24</v>
      </c>
      <c r="H805">
        <f t="shared" ca="1" si="148"/>
        <v>880</v>
      </c>
      <c r="I805" t="str">
        <f t="shared" ca="1" si="149"/>
        <v>Business</v>
      </c>
      <c r="J805" t="str">
        <f t="shared" ca="1" si="150"/>
        <v>Education</v>
      </c>
      <c r="K805" t="str">
        <f t="shared" ca="1" si="151"/>
        <v>Approved</v>
      </c>
      <c r="L805">
        <f t="shared" si="138"/>
        <v>971</v>
      </c>
      <c r="M805">
        <f t="shared" ca="1" si="139"/>
        <v>612</v>
      </c>
      <c r="N805">
        <f t="shared" ca="1" si="140"/>
        <v>292</v>
      </c>
      <c r="O805" s="2">
        <f t="shared" ca="1" si="141"/>
        <v>0.63027806385169927</v>
      </c>
    </row>
    <row r="806" spans="1:15" x14ac:dyDescent="0.3">
      <c r="A806" s="3" t="s">
        <v>1011</v>
      </c>
      <c r="B806" t="str">
        <f t="shared" ca="1" si="142"/>
        <v>Ms. Priya Sharma</v>
      </c>
      <c r="C806">
        <f t="shared" ca="1" si="143"/>
        <v>31</v>
      </c>
      <c r="D806" t="str">
        <f t="shared" ca="1" si="144"/>
        <v>Female</v>
      </c>
      <c r="E806">
        <f t="shared" ca="1" si="145"/>
        <v>263371</v>
      </c>
      <c r="F806">
        <f t="shared" ca="1" si="146"/>
        <v>1412573</v>
      </c>
      <c r="G806">
        <f t="shared" ca="1" si="147"/>
        <v>84</v>
      </c>
      <c r="H806">
        <f t="shared" ca="1" si="148"/>
        <v>429</v>
      </c>
      <c r="I806" t="str">
        <f t="shared" ca="1" si="149"/>
        <v>Salaried</v>
      </c>
      <c r="J806" t="str">
        <f t="shared" ca="1" si="150"/>
        <v>Personal</v>
      </c>
      <c r="K806" t="str">
        <f t="shared" ca="1" si="151"/>
        <v>Approved</v>
      </c>
      <c r="L806">
        <f t="shared" si="138"/>
        <v>971</v>
      </c>
      <c r="M806">
        <f t="shared" ca="1" si="139"/>
        <v>612</v>
      </c>
      <c r="N806">
        <f t="shared" ca="1" si="140"/>
        <v>292</v>
      </c>
      <c r="O806" s="2">
        <f t="shared" ca="1" si="141"/>
        <v>0.63027806385169927</v>
      </c>
    </row>
    <row r="807" spans="1:15" x14ac:dyDescent="0.3">
      <c r="A807" s="3" t="s">
        <v>1012</v>
      </c>
      <c r="B807" t="str">
        <f t="shared" ca="1" si="142"/>
        <v>Ms. Pooja Patel</v>
      </c>
      <c r="C807">
        <f t="shared" ca="1" si="143"/>
        <v>44</v>
      </c>
      <c r="D807" t="str">
        <f t="shared" ca="1" si="144"/>
        <v>Female</v>
      </c>
      <c r="E807">
        <f t="shared" ca="1" si="145"/>
        <v>662084</v>
      </c>
      <c r="F807">
        <f t="shared" ca="1" si="146"/>
        <v>1905936</v>
      </c>
      <c r="G807">
        <f t="shared" ca="1" si="147"/>
        <v>72</v>
      </c>
      <c r="H807">
        <f t="shared" ca="1" si="148"/>
        <v>573</v>
      </c>
      <c r="I807" t="str">
        <f t="shared" ca="1" si="149"/>
        <v>Self-Employed</v>
      </c>
      <c r="J807" t="str">
        <f t="shared" ca="1" si="150"/>
        <v>Business</v>
      </c>
      <c r="K807" t="str">
        <f t="shared" ca="1" si="151"/>
        <v>Approved</v>
      </c>
      <c r="L807">
        <f t="shared" si="138"/>
        <v>971</v>
      </c>
      <c r="M807">
        <f t="shared" ca="1" si="139"/>
        <v>612</v>
      </c>
      <c r="N807">
        <f t="shared" ca="1" si="140"/>
        <v>292</v>
      </c>
      <c r="O807" s="2">
        <f t="shared" ca="1" si="141"/>
        <v>0.63027806385169927</v>
      </c>
    </row>
    <row r="808" spans="1:15" x14ac:dyDescent="0.3">
      <c r="A808" s="3" t="s">
        <v>1013</v>
      </c>
      <c r="B808" t="str">
        <f t="shared" ca="1" si="142"/>
        <v>Mr. Arun Kumar</v>
      </c>
      <c r="C808">
        <f t="shared" ca="1" si="143"/>
        <v>59</v>
      </c>
      <c r="D808" t="str">
        <f t="shared" ca="1" si="144"/>
        <v>Male</v>
      </c>
      <c r="E808">
        <f t="shared" ca="1" si="145"/>
        <v>482499</v>
      </c>
      <c r="F808">
        <f t="shared" ca="1" si="146"/>
        <v>777259</v>
      </c>
      <c r="G808">
        <f t="shared" ca="1" si="147"/>
        <v>72</v>
      </c>
      <c r="H808">
        <f t="shared" ca="1" si="148"/>
        <v>302</v>
      </c>
      <c r="I808" t="str">
        <f t="shared" ca="1" si="149"/>
        <v>Business</v>
      </c>
      <c r="J808" t="str">
        <f t="shared" ca="1" si="150"/>
        <v>Home</v>
      </c>
      <c r="K808" t="str">
        <f t="shared" ca="1" si="151"/>
        <v>Approved</v>
      </c>
      <c r="L808">
        <f t="shared" si="138"/>
        <v>971</v>
      </c>
      <c r="M808">
        <f t="shared" ca="1" si="139"/>
        <v>612</v>
      </c>
      <c r="N808">
        <f t="shared" ca="1" si="140"/>
        <v>292</v>
      </c>
      <c r="O808" s="2">
        <f t="shared" ca="1" si="141"/>
        <v>0.63027806385169927</v>
      </c>
    </row>
    <row r="809" spans="1:15" x14ac:dyDescent="0.3">
      <c r="A809" s="3" t="s">
        <v>1014</v>
      </c>
      <c r="B809" t="str">
        <f t="shared" ca="1" si="142"/>
        <v>Mr. Amit Das</v>
      </c>
      <c r="C809">
        <f t="shared" ca="1" si="143"/>
        <v>34</v>
      </c>
      <c r="D809" t="str">
        <f t="shared" ca="1" si="144"/>
        <v>Female</v>
      </c>
      <c r="E809">
        <f t="shared" ca="1" si="145"/>
        <v>1059719</v>
      </c>
      <c r="F809">
        <f t="shared" ca="1" si="146"/>
        <v>1462135</v>
      </c>
      <c r="G809">
        <f t="shared" ca="1" si="147"/>
        <v>24</v>
      </c>
      <c r="H809">
        <f t="shared" ca="1" si="148"/>
        <v>637</v>
      </c>
      <c r="I809" t="str">
        <f t="shared" ca="1" si="149"/>
        <v>Student</v>
      </c>
      <c r="J809" t="str">
        <f t="shared" ca="1" si="150"/>
        <v>Education</v>
      </c>
      <c r="K809" t="str">
        <f t="shared" ca="1" si="151"/>
        <v>Approved</v>
      </c>
      <c r="L809">
        <f t="shared" si="138"/>
        <v>971</v>
      </c>
      <c r="M809">
        <f t="shared" ca="1" si="139"/>
        <v>612</v>
      </c>
      <c r="N809">
        <f t="shared" ca="1" si="140"/>
        <v>292</v>
      </c>
      <c r="O809" s="2">
        <f t="shared" ca="1" si="141"/>
        <v>0.63027806385169927</v>
      </c>
    </row>
    <row r="810" spans="1:15" x14ac:dyDescent="0.3">
      <c r="A810" s="3" t="s">
        <v>1015</v>
      </c>
      <c r="B810" t="str">
        <f t="shared" ca="1" si="142"/>
        <v>Mr. Amit Das</v>
      </c>
      <c r="C810">
        <f t="shared" ca="1" si="143"/>
        <v>38</v>
      </c>
      <c r="D810" t="str">
        <f t="shared" ca="1" si="144"/>
        <v>Female</v>
      </c>
      <c r="E810">
        <f t="shared" ca="1" si="145"/>
        <v>579426</v>
      </c>
      <c r="F810">
        <f t="shared" ca="1" si="146"/>
        <v>172821</v>
      </c>
      <c r="G810">
        <f t="shared" ca="1" si="147"/>
        <v>36</v>
      </c>
      <c r="H810">
        <f t="shared" ca="1" si="148"/>
        <v>364</v>
      </c>
      <c r="I810" t="str">
        <f t="shared" ca="1" si="149"/>
        <v>Business</v>
      </c>
      <c r="J810" t="str">
        <f t="shared" ca="1" si="150"/>
        <v>Home</v>
      </c>
      <c r="K810" t="str">
        <f t="shared" ca="1" si="151"/>
        <v>Approved</v>
      </c>
      <c r="L810">
        <f t="shared" si="138"/>
        <v>971</v>
      </c>
      <c r="M810">
        <f t="shared" ca="1" si="139"/>
        <v>612</v>
      </c>
      <c r="N810">
        <f t="shared" ca="1" si="140"/>
        <v>292</v>
      </c>
      <c r="O810" s="2">
        <f t="shared" ca="1" si="141"/>
        <v>0.63027806385169927</v>
      </c>
    </row>
    <row r="811" spans="1:15" x14ac:dyDescent="0.3">
      <c r="A811" s="3" t="s">
        <v>1016</v>
      </c>
      <c r="B811" t="str">
        <f t="shared" ca="1" si="142"/>
        <v>Mr. Amit Das</v>
      </c>
      <c r="C811">
        <f t="shared" ca="1" si="143"/>
        <v>45</v>
      </c>
      <c r="D811" t="str">
        <f t="shared" ca="1" si="144"/>
        <v>Male</v>
      </c>
      <c r="E811">
        <f t="shared" ca="1" si="145"/>
        <v>372508</v>
      </c>
      <c r="F811">
        <f t="shared" ca="1" si="146"/>
        <v>238001</v>
      </c>
      <c r="G811">
        <f t="shared" ca="1" si="147"/>
        <v>84</v>
      </c>
      <c r="H811">
        <f t="shared" ca="1" si="148"/>
        <v>831</v>
      </c>
      <c r="I811" t="str">
        <f t="shared" ca="1" si="149"/>
        <v>Student</v>
      </c>
      <c r="J811" t="str">
        <f t="shared" ca="1" si="150"/>
        <v>Education</v>
      </c>
      <c r="K811" t="str">
        <f t="shared" ca="1" si="151"/>
        <v>Approved</v>
      </c>
      <c r="L811">
        <f t="shared" si="138"/>
        <v>971</v>
      </c>
      <c r="M811">
        <f t="shared" ca="1" si="139"/>
        <v>612</v>
      </c>
      <c r="N811">
        <f t="shared" ca="1" si="140"/>
        <v>292</v>
      </c>
      <c r="O811" s="2">
        <f t="shared" ca="1" si="141"/>
        <v>0.63027806385169927</v>
      </c>
    </row>
    <row r="812" spans="1:15" x14ac:dyDescent="0.3">
      <c r="A812" s="3" t="s">
        <v>1017</v>
      </c>
      <c r="B812" t="str">
        <f t="shared" ca="1" si="142"/>
        <v>Mr. Rohan Gupta</v>
      </c>
      <c r="C812">
        <f t="shared" ca="1" si="143"/>
        <v>46</v>
      </c>
      <c r="D812" t="str">
        <f t="shared" ca="1" si="144"/>
        <v>Female</v>
      </c>
      <c r="E812">
        <f t="shared" ca="1" si="145"/>
        <v>279830</v>
      </c>
      <c r="F812">
        <f t="shared" ca="1" si="146"/>
        <v>1753370</v>
      </c>
      <c r="G812">
        <f t="shared" ca="1" si="147"/>
        <v>24</v>
      </c>
      <c r="H812">
        <f t="shared" ca="1" si="148"/>
        <v>403</v>
      </c>
      <c r="I812" t="str">
        <f t="shared" ca="1" si="149"/>
        <v>Freelancer</v>
      </c>
      <c r="J812" t="str">
        <f t="shared" ca="1" si="150"/>
        <v>Personal</v>
      </c>
      <c r="K812" t="str">
        <f t="shared" ca="1" si="151"/>
        <v>Approved</v>
      </c>
      <c r="L812">
        <f t="shared" si="138"/>
        <v>971</v>
      </c>
      <c r="M812">
        <f t="shared" ca="1" si="139"/>
        <v>612</v>
      </c>
      <c r="N812">
        <f t="shared" ca="1" si="140"/>
        <v>292</v>
      </c>
      <c r="O812" s="2">
        <f t="shared" ca="1" si="141"/>
        <v>0.63027806385169927</v>
      </c>
    </row>
    <row r="813" spans="1:15" x14ac:dyDescent="0.3">
      <c r="A813" s="3" t="s">
        <v>1018</v>
      </c>
      <c r="B813" t="str">
        <f t="shared" ca="1" si="142"/>
        <v>Ms. Priya Sharma</v>
      </c>
      <c r="C813">
        <f t="shared" ca="1" si="143"/>
        <v>62</v>
      </c>
      <c r="D813" t="str">
        <f t="shared" ca="1" si="144"/>
        <v>Female</v>
      </c>
      <c r="E813">
        <f t="shared" ca="1" si="145"/>
        <v>520106</v>
      </c>
      <c r="F813">
        <f t="shared" ca="1" si="146"/>
        <v>1213288</v>
      </c>
      <c r="G813">
        <f t="shared" ca="1" si="147"/>
        <v>60</v>
      </c>
      <c r="H813">
        <f t="shared" ca="1" si="148"/>
        <v>314</v>
      </c>
      <c r="I813" t="str">
        <f t="shared" ca="1" si="149"/>
        <v>Business</v>
      </c>
      <c r="J813" t="str">
        <f t="shared" ca="1" si="150"/>
        <v>Home</v>
      </c>
      <c r="K813" t="str">
        <f t="shared" ca="1" si="151"/>
        <v>Rejected</v>
      </c>
      <c r="L813">
        <f t="shared" si="138"/>
        <v>971</v>
      </c>
      <c r="M813">
        <f t="shared" ca="1" si="139"/>
        <v>612</v>
      </c>
      <c r="N813">
        <f t="shared" ca="1" si="140"/>
        <v>292</v>
      </c>
      <c r="O813" s="2">
        <f t="shared" ca="1" si="141"/>
        <v>0.63027806385169927</v>
      </c>
    </row>
    <row r="814" spans="1:15" x14ac:dyDescent="0.3">
      <c r="A814" s="3" t="s">
        <v>1019</v>
      </c>
      <c r="B814" t="str">
        <f t="shared" ca="1" si="142"/>
        <v>Mr. Arun Kumar</v>
      </c>
      <c r="C814">
        <f t="shared" ca="1" si="143"/>
        <v>28</v>
      </c>
      <c r="D814" t="str">
        <f t="shared" ca="1" si="144"/>
        <v>Male</v>
      </c>
      <c r="E814">
        <f t="shared" ca="1" si="145"/>
        <v>316348</v>
      </c>
      <c r="F814">
        <f t="shared" ca="1" si="146"/>
        <v>1112264</v>
      </c>
      <c r="G814">
        <f t="shared" ca="1" si="147"/>
        <v>72</v>
      </c>
      <c r="H814">
        <f t="shared" ca="1" si="148"/>
        <v>380</v>
      </c>
      <c r="I814" t="str">
        <f t="shared" ca="1" si="149"/>
        <v>Salaried</v>
      </c>
      <c r="J814" t="str">
        <f t="shared" ca="1" si="150"/>
        <v>Home</v>
      </c>
      <c r="K814" t="str">
        <f t="shared" ca="1" si="151"/>
        <v>Rejected</v>
      </c>
      <c r="L814">
        <f t="shared" si="138"/>
        <v>971</v>
      </c>
      <c r="M814">
        <f t="shared" ca="1" si="139"/>
        <v>612</v>
      </c>
      <c r="N814">
        <f t="shared" ca="1" si="140"/>
        <v>292</v>
      </c>
      <c r="O814" s="2">
        <f t="shared" ca="1" si="141"/>
        <v>0.63027806385169927</v>
      </c>
    </row>
    <row r="815" spans="1:15" x14ac:dyDescent="0.3">
      <c r="A815" s="3" t="s">
        <v>1020</v>
      </c>
      <c r="B815" t="str">
        <f t="shared" ca="1" si="142"/>
        <v>Ms. Neha Verma</v>
      </c>
      <c r="C815">
        <f t="shared" ca="1" si="143"/>
        <v>64</v>
      </c>
      <c r="D815" t="str">
        <f t="shared" ca="1" si="144"/>
        <v>Female</v>
      </c>
      <c r="E815">
        <f t="shared" ca="1" si="145"/>
        <v>1451928</v>
      </c>
      <c r="F815">
        <f t="shared" ca="1" si="146"/>
        <v>298522</v>
      </c>
      <c r="G815">
        <f t="shared" ca="1" si="147"/>
        <v>24</v>
      </c>
      <c r="H815">
        <f t="shared" ca="1" si="148"/>
        <v>536</v>
      </c>
      <c r="I815" t="str">
        <f t="shared" ca="1" si="149"/>
        <v>Salaried</v>
      </c>
      <c r="J815" t="str">
        <f t="shared" ca="1" si="150"/>
        <v>Car</v>
      </c>
      <c r="K815" t="str">
        <f t="shared" ca="1" si="151"/>
        <v>Approved</v>
      </c>
      <c r="L815">
        <f t="shared" si="138"/>
        <v>971</v>
      </c>
      <c r="M815">
        <f t="shared" ca="1" si="139"/>
        <v>612</v>
      </c>
      <c r="N815">
        <f t="shared" ca="1" si="140"/>
        <v>292</v>
      </c>
      <c r="O815" s="2">
        <f t="shared" ca="1" si="141"/>
        <v>0.63027806385169927</v>
      </c>
    </row>
    <row r="816" spans="1:15" x14ac:dyDescent="0.3">
      <c r="A816" s="3" t="s">
        <v>1021</v>
      </c>
      <c r="B816" t="str">
        <f t="shared" ca="1" si="142"/>
        <v>Ms. Priya Sharma</v>
      </c>
      <c r="C816">
        <f t="shared" ca="1" si="143"/>
        <v>65</v>
      </c>
      <c r="D816" t="str">
        <f t="shared" ca="1" si="144"/>
        <v>Male</v>
      </c>
      <c r="E816">
        <f t="shared" ca="1" si="145"/>
        <v>1118230</v>
      </c>
      <c r="F816">
        <f t="shared" ca="1" si="146"/>
        <v>1284176</v>
      </c>
      <c r="G816">
        <f t="shared" ca="1" si="147"/>
        <v>36</v>
      </c>
      <c r="H816">
        <f t="shared" ca="1" si="148"/>
        <v>821</v>
      </c>
      <c r="I816" t="str">
        <f t="shared" ca="1" si="149"/>
        <v>Business</v>
      </c>
      <c r="J816" t="str">
        <f t="shared" ca="1" si="150"/>
        <v>Car</v>
      </c>
      <c r="K816" t="str">
        <f t="shared" ca="1" si="151"/>
        <v>Approved</v>
      </c>
      <c r="L816">
        <f t="shared" si="138"/>
        <v>971</v>
      </c>
      <c r="M816">
        <f t="shared" ca="1" si="139"/>
        <v>612</v>
      </c>
      <c r="N816">
        <f t="shared" ca="1" si="140"/>
        <v>292</v>
      </c>
      <c r="O816" s="2">
        <f t="shared" ca="1" si="141"/>
        <v>0.63027806385169927</v>
      </c>
    </row>
    <row r="817" spans="1:15" x14ac:dyDescent="0.3">
      <c r="A817" s="3" t="s">
        <v>1022</v>
      </c>
      <c r="B817" t="str">
        <f t="shared" ca="1" si="142"/>
        <v>Ms. Anjali Singh</v>
      </c>
      <c r="C817">
        <f t="shared" ca="1" si="143"/>
        <v>33</v>
      </c>
      <c r="D817" t="str">
        <f t="shared" ca="1" si="144"/>
        <v>Female</v>
      </c>
      <c r="E817">
        <f t="shared" ca="1" si="145"/>
        <v>433214</v>
      </c>
      <c r="F817">
        <f t="shared" ca="1" si="146"/>
        <v>237705</v>
      </c>
      <c r="G817">
        <f t="shared" ca="1" si="147"/>
        <v>12</v>
      </c>
      <c r="H817">
        <f t="shared" ca="1" si="148"/>
        <v>685</v>
      </c>
      <c r="I817" t="str">
        <f t="shared" ca="1" si="149"/>
        <v>Salaried</v>
      </c>
      <c r="J817" t="str">
        <f t="shared" ca="1" si="150"/>
        <v>Personal</v>
      </c>
      <c r="K817" t="str">
        <f t="shared" ca="1" si="151"/>
        <v>Approved</v>
      </c>
      <c r="L817">
        <f t="shared" si="138"/>
        <v>971</v>
      </c>
      <c r="M817">
        <f t="shared" ca="1" si="139"/>
        <v>612</v>
      </c>
      <c r="N817">
        <f t="shared" ca="1" si="140"/>
        <v>292</v>
      </c>
      <c r="O817" s="2">
        <f t="shared" ca="1" si="141"/>
        <v>0.63027806385169927</v>
      </c>
    </row>
    <row r="818" spans="1:15" x14ac:dyDescent="0.3">
      <c r="A818" s="3" t="s">
        <v>1023</v>
      </c>
      <c r="B818" t="str">
        <f t="shared" ca="1" si="142"/>
        <v>Ms. Kajal Yadav</v>
      </c>
      <c r="C818">
        <f t="shared" ca="1" si="143"/>
        <v>35</v>
      </c>
      <c r="D818" t="str">
        <f t="shared" ca="1" si="144"/>
        <v>Female</v>
      </c>
      <c r="E818">
        <f t="shared" ca="1" si="145"/>
        <v>1345163</v>
      </c>
      <c r="F818">
        <f t="shared" ca="1" si="146"/>
        <v>1180613</v>
      </c>
      <c r="G818">
        <f t="shared" ca="1" si="147"/>
        <v>60</v>
      </c>
      <c r="H818">
        <f t="shared" ca="1" si="148"/>
        <v>353</v>
      </c>
      <c r="I818" t="str">
        <f t="shared" ca="1" si="149"/>
        <v>Contract-Based</v>
      </c>
      <c r="J818" t="str">
        <f t="shared" ca="1" si="150"/>
        <v>Business</v>
      </c>
      <c r="K818" t="str">
        <f t="shared" ca="1" si="151"/>
        <v>Approved</v>
      </c>
      <c r="L818">
        <f t="shared" si="138"/>
        <v>971</v>
      </c>
      <c r="M818">
        <f t="shared" ca="1" si="139"/>
        <v>612</v>
      </c>
      <c r="N818">
        <f t="shared" ca="1" si="140"/>
        <v>292</v>
      </c>
      <c r="O818" s="2">
        <f t="shared" ca="1" si="141"/>
        <v>0.63027806385169927</v>
      </c>
    </row>
    <row r="819" spans="1:15" x14ac:dyDescent="0.3">
      <c r="A819" s="3" t="s">
        <v>1024</v>
      </c>
      <c r="B819" t="str">
        <f t="shared" ca="1" si="142"/>
        <v>Ms. Anjali Singh</v>
      </c>
      <c r="C819">
        <f t="shared" ca="1" si="143"/>
        <v>41</v>
      </c>
      <c r="D819" t="str">
        <f t="shared" ca="1" si="144"/>
        <v>Male</v>
      </c>
      <c r="E819">
        <f t="shared" ca="1" si="145"/>
        <v>1875958</v>
      </c>
      <c r="F819">
        <f t="shared" ca="1" si="146"/>
        <v>1956075</v>
      </c>
      <c r="G819">
        <f t="shared" ca="1" si="147"/>
        <v>72</v>
      </c>
      <c r="H819">
        <f t="shared" ca="1" si="148"/>
        <v>668</v>
      </c>
      <c r="I819" t="str">
        <f t="shared" ca="1" si="149"/>
        <v>Business</v>
      </c>
      <c r="J819" t="str">
        <f t="shared" ca="1" si="150"/>
        <v>Personal</v>
      </c>
      <c r="K819" t="str">
        <f t="shared" ca="1" si="151"/>
        <v>Approved</v>
      </c>
      <c r="L819">
        <f t="shared" si="138"/>
        <v>971</v>
      </c>
      <c r="M819">
        <f t="shared" ca="1" si="139"/>
        <v>612</v>
      </c>
      <c r="N819">
        <f t="shared" ca="1" si="140"/>
        <v>292</v>
      </c>
      <c r="O819" s="2">
        <f t="shared" ca="1" si="141"/>
        <v>0.63027806385169927</v>
      </c>
    </row>
    <row r="820" spans="1:15" x14ac:dyDescent="0.3">
      <c r="A820" s="3" t="s">
        <v>1025</v>
      </c>
      <c r="B820" t="str">
        <f t="shared" ca="1" si="142"/>
        <v>Ms. Priya Sharma</v>
      </c>
      <c r="C820">
        <f t="shared" ca="1" si="143"/>
        <v>41</v>
      </c>
      <c r="D820" t="str">
        <f t="shared" ca="1" si="144"/>
        <v>Female</v>
      </c>
      <c r="E820">
        <f t="shared" ca="1" si="145"/>
        <v>930762</v>
      </c>
      <c r="F820">
        <f t="shared" ca="1" si="146"/>
        <v>1667332</v>
      </c>
      <c r="G820">
        <f t="shared" ca="1" si="147"/>
        <v>84</v>
      </c>
      <c r="H820">
        <f t="shared" ca="1" si="148"/>
        <v>476</v>
      </c>
      <c r="I820" t="str">
        <f t="shared" ca="1" si="149"/>
        <v>Contract-Based</v>
      </c>
      <c r="J820" t="str">
        <f t="shared" ca="1" si="150"/>
        <v>Personal</v>
      </c>
      <c r="K820" t="str">
        <f t="shared" ca="1" si="151"/>
        <v>Approved</v>
      </c>
      <c r="L820">
        <f t="shared" si="138"/>
        <v>971</v>
      </c>
      <c r="M820">
        <f t="shared" ca="1" si="139"/>
        <v>612</v>
      </c>
      <c r="N820">
        <f t="shared" ca="1" si="140"/>
        <v>292</v>
      </c>
      <c r="O820" s="2">
        <f t="shared" ca="1" si="141"/>
        <v>0.63027806385169927</v>
      </c>
    </row>
    <row r="821" spans="1:15" x14ac:dyDescent="0.3">
      <c r="A821" s="3" t="s">
        <v>1026</v>
      </c>
      <c r="B821" t="str">
        <f t="shared" ca="1" si="142"/>
        <v>Mr. Amit Das</v>
      </c>
      <c r="C821">
        <f t="shared" ca="1" si="143"/>
        <v>60</v>
      </c>
      <c r="D821" t="str">
        <f t="shared" ca="1" si="144"/>
        <v>Male</v>
      </c>
      <c r="E821">
        <f t="shared" ca="1" si="145"/>
        <v>445786</v>
      </c>
      <c r="F821">
        <f t="shared" ca="1" si="146"/>
        <v>1329110</v>
      </c>
      <c r="G821">
        <f t="shared" ca="1" si="147"/>
        <v>84</v>
      </c>
      <c r="H821">
        <f t="shared" ca="1" si="148"/>
        <v>461</v>
      </c>
      <c r="I821" t="str">
        <f t="shared" ca="1" si="149"/>
        <v>Contract-Based</v>
      </c>
      <c r="J821" t="str">
        <f t="shared" ca="1" si="150"/>
        <v>Personal</v>
      </c>
      <c r="K821" t="str">
        <f t="shared" ca="1" si="151"/>
        <v>Approved</v>
      </c>
      <c r="L821">
        <f t="shared" si="138"/>
        <v>971</v>
      </c>
      <c r="M821">
        <f t="shared" ca="1" si="139"/>
        <v>612</v>
      </c>
      <c r="N821">
        <f t="shared" ca="1" si="140"/>
        <v>292</v>
      </c>
      <c r="O821" s="2">
        <f t="shared" ca="1" si="141"/>
        <v>0.63027806385169927</v>
      </c>
    </row>
    <row r="822" spans="1:15" x14ac:dyDescent="0.3">
      <c r="A822" s="3" t="s">
        <v>1027</v>
      </c>
      <c r="B822" t="str">
        <f t="shared" ca="1" si="142"/>
        <v>Ms. Kajal Yadav</v>
      </c>
      <c r="C822">
        <f t="shared" ca="1" si="143"/>
        <v>41</v>
      </c>
      <c r="D822" t="str">
        <f t="shared" ca="1" si="144"/>
        <v>Female</v>
      </c>
      <c r="E822">
        <f t="shared" ca="1" si="145"/>
        <v>714855</v>
      </c>
      <c r="F822">
        <f t="shared" ca="1" si="146"/>
        <v>1023948</v>
      </c>
      <c r="G822">
        <f t="shared" ca="1" si="147"/>
        <v>48</v>
      </c>
      <c r="H822">
        <f t="shared" ca="1" si="148"/>
        <v>885</v>
      </c>
      <c r="I822" t="str">
        <f t="shared" ca="1" si="149"/>
        <v>Freelancer</v>
      </c>
      <c r="J822" t="str">
        <f t="shared" ca="1" si="150"/>
        <v>Personal</v>
      </c>
      <c r="K822" t="str">
        <f t="shared" ca="1" si="151"/>
        <v>Approved</v>
      </c>
      <c r="L822">
        <f t="shared" si="138"/>
        <v>971</v>
      </c>
      <c r="M822">
        <f t="shared" ca="1" si="139"/>
        <v>612</v>
      </c>
      <c r="N822">
        <f t="shared" ca="1" si="140"/>
        <v>292</v>
      </c>
      <c r="O822" s="2">
        <f t="shared" ca="1" si="141"/>
        <v>0.63027806385169927</v>
      </c>
    </row>
    <row r="823" spans="1:15" x14ac:dyDescent="0.3">
      <c r="A823" s="3" t="s">
        <v>1028</v>
      </c>
      <c r="B823" t="str">
        <f t="shared" ca="1" si="142"/>
        <v>Mr. Arun Kumar</v>
      </c>
      <c r="C823">
        <f t="shared" ca="1" si="143"/>
        <v>40</v>
      </c>
      <c r="D823" t="str">
        <f t="shared" ca="1" si="144"/>
        <v>Female</v>
      </c>
      <c r="E823">
        <f t="shared" ca="1" si="145"/>
        <v>1847912</v>
      </c>
      <c r="F823">
        <f t="shared" ca="1" si="146"/>
        <v>1955544</v>
      </c>
      <c r="G823">
        <f t="shared" ca="1" si="147"/>
        <v>36</v>
      </c>
      <c r="H823">
        <f t="shared" ca="1" si="148"/>
        <v>511</v>
      </c>
      <c r="I823" t="str">
        <f t="shared" ca="1" si="149"/>
        <v>Contract-Based</v>
      </c>
      <c r="J823" t="str">
        <f t="shared" ca="1" si="150"/>
        <v>Business</v>
      </c>
      <c r="K823" t="str">
        <f t="shared" ca="1" si="151"/>
        <v>Approved</v>
      </c>
      <c r="L823">
        <f t="shared" si="138"/>
        <v>971</v>
      </c>
      <c r="M823">
        <f t="shared" ca="1" si="139"/>
        <v>612</v>
      </c>
      <c r="N823">
        <f t="shared" ca="1" si="140"/>
        <v>292</v>
      </c>
      <c r="O823" s="2">
        <f t="shared" ca="1" si="141"/>
        <v>0.63027806385169927</v>
      </c>
    </row>
    <row r="824" spans="1:15" x14ac:dyDescent="0.3">
      <c r="A824" s="3" t="s">
        <v>1029</v>
      </c>
      <c r="B824" t="str">
        <f t="shared" ca="1" si="142"/>
        <v>Mr. Rohan Gupta</v>
      </c>
      <c r="C824">
        <f t="shared" ca="1" si="143"/>
        <v>27</v>
      </c>
      <c r="D824" t="str">
        <f t="shared" ca="1" si="144"/>
        <v>Male</v>
      </c>
      <c r="E824">
        <f t="shared" ca="1" si="145"/>
        <v>1513308</v>
      </c>
      <c r="F824">
        <f t="shared" ca="1" si="146"/>
        <v>1249818</v>
      </c>
      <c r="G824">
        <f t="shared" ca="1" si="147"/>
        <v>84</v>
      </c>
      <c r="H824">
        <f t="shared" ca="1" si="148"/>
        <v>723</v>
      </c>
      <c r="I824" t="str">
        <f t="shared" ca="1" si="149"/>
        <v>Freelancer</v>
      </c>
      <c r="J824" t="str">
        <f t="shared" ca="1" si="150"/>
        <v>Personal</v>
      </c>
      <c r="K824" t="str">
        <f t="shared" ca="1" si="151"/>
        <v>Approved</v>
      </c>
      <c r="L824">
        <f t="shared" si="138"/>
        <v>971</v>
      </c>
      <c r="M824">
        <f t="shared" ca="1" si="139"/>
        <v>612</v>
      </c>
      <c r="N824">
        <f t="shared" ca="1" si="140"/>
        <v>292</v>
      </c>
      <c r="O824" s="2">
        <f t="shared" ca="1" si="141"/>
        <v>0.63027806385169927</v>
      </c>
    </row>
    <row r="825" spans="1:15" x14ac:dyDescent="0.3">
      <c r="A825" s="3" t="s">
        <v>1030</v>
      </c>
      <c r="B825" t="str">
        <f t="shared" ca="1" si="142"/>
        <v>Mr. Raj Kumar</v>
      </c>
      <c r="C825">
        <f t="shared" ca="1" si="143"/>
        <v>57</v>
      </c>
      <c r="D825" t="str">
        <f t="shared" ca="1" si="144"/>
        <v>Male</v>
      </c>
      <c r="E825">
        <f t="shared" ca="1" si="145"/>
        <v>1209624</v>
      </c>
      <c r="F825">
        <f t="shared" ca="1" si="146"/>
        <v>458940</v>
      </c>
      <c r="G825">
        <f t="shared" ca="1" si="147"/>
        <v>36</v>
      </c>
      <c r="H825">
        <f t="shared" ca="1" si="148"/>
        <v>366</v>
      </c>
      <c r="I825" t="str">
        <f t="shared" ca="1" si="149"/>
        <v>Business</v>
      </c>
      <c r="J825" t="str">
        <f t="shared" ca="1" si="150"/>
        <v>Education</v>
      </c>
      <c r="K825" t="str">
        <f t="shared" ca="1" si="151"/>
        <v>Approved</v>
      </c>
      <c r="L825">
        <f t="shared" si="138"/>
        <v>971</v>
      </c>
      <c r="M825">
        <f t="shared" ca="1" si="139"/>
        <v>612</v>
      </c>
      <c r="N825">
        <f t="shared" ca="1" si="140"/>
        <v>292</v>
      </c>
      <c r="O825" s="2">
        <f t="shared" ca="1" si="141"/>
        <v>0.63027806385169927</v>
      </c>
    </row>
    <row r="826" spans="1:15" x14ac:dyDescent="0.3">
      <c r="A826" s="3" t="s">
        <v>1031</v>
      </c>
      <c r="B826" t="str">
        <f t="shared" ca="1" si="142"/>
        <v>Mr. Suresh Rao</v>
      </c>
      <c r="C826">
        <f t="shared" ca="1" si="143"/>
        <v>31</v>
      </c>
      <c r="D826" t="str">
        <f t="shared" ca="1" si="144"/>
        <v>Female</v>
      </c>
      <c r="E826">
        <f t="shared" ca="1" si="145"/>
        <v>1106607</v>
      </c>
      <c r="F826">
        <f t="shared" ca="1" si="146"/>
        <v>2393956</v>
      </c>
      <c r="G826">
        <f t="shared" ca="1" si="147"/>
        <v>84</v>
      </c>
      <c r="H826">
        <f t="shared" ca="1" si="148"/>
        <v>725</v>
      </c>
      <c r="I826" t="str">
        <f t="shared" ca="1" si="149"/>
        <v>Freelancer</v>
      </c>
      <c r="J826" t="str">
        <f t="shared" ca="1" si="150"/>
        <v>Business</v>
      </c>
      <c r="K826" t="str">
        <f t="shared" ca="1" si="151"/>
        <v>Rejected</v>
      </c>
      <c r="L826">
        <f t="shared" si="138"/>
        <v>971</v>
      </c>
      <c r="M826">
        <f t="shared" ca="1" si="139"/>
        <v>612</v>
      </c>
      <c r="N826">
        <f t="shared" ca="1" si="140"/>
        <v>292</v>
      </c>
      <c r="O826" s="2">
        <f t="shared" ca="1" si="141"/>
        <v>0.63027806385169927</v>
      </c>
    </row>
    <row r="827" spans="1:15" x14ac:dyDescent="0.3">
      <c r="A827" s="3" t="s">
        <v>1032</v>
      </c>
      <c r="B827" t="str">
        <f t="shared" ca="1" si="142"/>
        <v>Mr. Suresh Rao</v>
      </c>
      <c r="C827">
        <f t="shared" ca="1" si="143"/>
        <v>35</v>
      </c>
      <c r="D827" t="str">
        <f t="shared" ca="1" si="144"/>
        <v>Female</v>
      </c>
      <c r="E827">
        <f t="shared" ca="1" si="145"/>
        <v>699822</v>
      </c>
      <c r="F827">
        <f t="shared" ca="1" si="146"/>
        <v>544311</v>
      </c>
      <c r="G827">
        <f t="shared" ca="1" si="147"/>
        <v>72</v>
      </c>
      <c r="H827">
        <f t="shared" ca="1" si="148"/>
        <v>404</v>
      </c>
      <c r="I827" t="str">
        <f t="shared" ca="1" si="149"/>
        <v>Business</v>
      </c>
      <c r="J827" t="str">
        <f t="shared" ca="1" si="150"/>
        <v>Home</v>
      </c>
      <c r="K827" t="str">
        <f t="shared" ca="1" si="151"/>
        <v>Rejected</v>
      </c>
      <c r="L827">
        <f t="shared" si="138"/>
        <v>971</v>
      </c>
      <c r="M827">
        <f t="shared" ca="1" si="139"/>
        <v>612</v>
      </c>
      <c r="N827">
        <f t="shared" ca="1" si="140"/>
        <v>292</v>
      </c>
      <c r="O827" s="2">
        <f t="shared" ca="1" si="141"/>
        <v>0.63027806385169927</v>
      </c>
    </row>
    <row r="828" spans="1:15" x14ac:dyDescent="0.3">
      <c r="A828" s="3" t="s">
        <v>1033</v>
      </c>
      <c r="B828" t="str">
        <f t="shared" ca="1" si="142"/>
        <v>Mr. Raj Kumar</v>
      </c>
      <c r="C828">
        <f t="shared" ca="1" si="143"/>
        <v>57</v>
      </c>
      <c r="D828" t="str">
        <f t="shared" ca="1" si="144"/>
        <v>Male</v>
      </c>
      <c r="E828">
        <f t="shared" ca="1" si="145"/>
        <v>1282810</v>
      </c>
      <c r="F828">
        <f t="shared" ca="1" si="146"/>
        <v>864114</v>
      </c>
      <c r="G828">
        <f t="shared" ca="1" si="147"/>
        <v>48</v>
      </c>
      <c r="H828">
        <f t="shared" ca="1" si="148"/>
        <v>488</v>
      </c>
      <c r="I828" t="str">
        <f t="shared" ca="1" si="149"/>
        <v>Contract-Based</v>
      </c>
      <c r="J828" t="str">
        <f t="shared" ca="1" si="150"/>
        <v>Business</v>
      </c>
      <c r="K828" t="str">
        <f t="shared" ca="1" si="151"/>
        <v>Approved</v>
      </c>
      <c r="L828">
        <f t="shared" si="138"/>
        <v>971</v>
      </c>
      <c r="M828">
        <f t="shared" ca="1" si="139"/>
        <v>612</v>
      </c>
      <c r="N828">
        <f t="shared" ca="1" si="140"/>
        <v>292</v>
      </c>
      <c r="O828" s="2">
        <f t="shared" ca="1" si="141"/>
        <v>0.63027806385169927</v>
      </c>
    </row>
    <row r="829" spans="1:15" x14ac:dyDescent="0.3">
      <c r="A829" s="3" t="s">
        <v>1034</v>
      </c>
      <c r="B829" t="str">
        <f t="shared" ca="1" si="142"/>
        <v>Ms. Neha Verma</v>
      </c>
      <c r="C829">
        <f t="shared" ca="1" si="143"/>
        <v>44</v>
      </c>
      <c r="D829" t="str">
        <f t="shared" ca="1" si="144"/>
        <v>Male</v>
      </c>
      <c r="E829">
        <f t="shared" ca="1" si="145"/>
        <v>1447071</v>
      </c>
      <c r="F829">
        <f t="shared" ca="1" si="146"/>
        <v>2370347</v>
      </c>
      <c r="G829">
        <f t="shared" ca="1" si="147"/>
        <v>60</v>
      </c>
      <c r="H829">
        <f t="shared" ca="1" si="148"/>
        <v>684</v>
      </c>
      <c r="I829" t="str">
        <f t="shared" ca="1" si="149"/>
        <v>Contract-Based</v>
      </c>
      <c r="J829" t="str">
        <f t="shared" ca="1" si="150"/>
        <v>Personal</v>
      </c>
      <c r="K829" t="str">
        <f t="shared" ca="1" si="151"/>
        <v>Rejected</v>
      </c>
      <c r="L829">
        <f t="shared" si="138"/>
        <v>971</v>
      </c>
      <c r="M829">
        <f t="shared" ca="1" si="139"/>
        <v>612</v>
      </c>
      <c r="N829">
        <f t="shared" ca="1" si="140"/>
        <v>292</v>
      </c>
      <c r="O829" s="2">
        <f t="shared" ca="1" si="141"/>
        <v>0.63027806385169927</v>
      </c>
    </row>
    <row r="830" spans="1:15" x14ac:dyDescent="0.3">
      <c r="A830" s="3" t="s">
        <v>1035</v>
      </c>
      <c r="B830" t="str">
        <f t="shared" ca="1" si="142"/>
        <v>Mr. Rohan Gupta</v>
      </c>
      <c r="C830">
        <f t="shared" ca="1" si="143"/>
        <v>34</v>
      </c>
      <c r="D830" t="str">
        <f t="shared" ca="1" si="144"/>
        <v>Female</v>
      </c>
      <c r="E830">
        <f t="shared" ca="1" si="145"/>
        <v>1602827</v>
      </c>
      <c r="F830">
        <f t="shared" ca="1" si="146"/>
        <v>1788182</v>
      </c>
      <c r="G830">
        <f t="shared" ca="1" si="147"/>
        <v>36</v>
      </c>
      <c r="H830">
        <f t="shared" ca="1" si="148"/>
        <v>854</v>
      </c>
      <c r="I830" t="str">
        <f t="shared" ca="1" si="149"/>
        <v>Business</v>
      </c>
      <c r="J830" t="str">
        <f t="shared" ca="1" si="150"/>
        <v>Business</v>
      </c>
      <c r="K830" t="str">
        <f t="shared" ca="1" si="151"/>
        <v>Approved</v>
      </c>
      <c r="L830">
        <f t="shared" si="138"/>
        <v>971</v>
      </c>
      <c r="M830">
        <f t="shared" ca="1" si="139"/>
        <v>612</v>
      </c>
      <c r="N830">
        <f t="shared" ca="1" si="140"/>
        <v>292</v>
      </c>
      <c r="O830" s="2">
        <f t="shared" ca="1" si="141"/>
        <v>0.63027806385169927</v>
      </c>
    </row>
    <row r="831" spans="1:15" x14ac:dyDescent="0.3">
      <c r="A831" s="3" t="s">
        <v>1036</v>
      </c>
      <c r="B831" t="str">
        <f t="shared" ca="1" si="142"/>
        <v>Ms. Kajal Yadav</v>
      </c>
      <c r="C831">
        <f t="shared" ca="1" si="143"/>
        <v>47</v>
      </c>
      <c r="D831" t="str">
        <f t="shared" ca="1" si="144"/>
        <v>Female</v>
      </c>
      <c r="E831">
        <f t="shared" ca="1" si="145"/>
        <v>454593</v>
      </c>
      <c r="F831">
        <f t="shared" ca="1" si="146"/>
        <v>2324859</v>
      </c>
      <c r="G831">
        <f t="shared" ca="1" si="147"/>
        <v>12</v>
      </c>
      <c r="H831">
        <f t="shared" ca="1" si="148"/>
        <v>394</v>
      </c>
      <c r="I831" t="str">
        <f t="shared" ca="1" si="149"/>
        <v>Business</v>
      </c>
      <c r="J831" t="str">
        <f t="shared" ca="1" si="150"/>
        <v>Business</v>
      </c>
      <c r="K831" t="str">
        <f t="shared" ca="1" si="151"/>
        <v>Approved</v>
      </c>
      <c r="L831">
        <f t="shared" si="138"/>
        <v>971</v>
      </c>
      <c r="M831">
        <f t="shared" ca="1" si="139"/>
        <v>612</v>
      </c>
      <c r="N831">
        <f t="shared" ca="1" si="140"/>
        <v>292</v>
      </c>
      <c r="O831" s="2">
        <f t="shared" ca="1" si="141"/>
        <v>0.63027806385169927</v>
      </c>
    </row>
    <row r="832" spans="1:15" x14ac:dyDescent="0.3">
      <c r="A832" s="3" t="s">
        <v>1037</v>
      </c>
      <c r="B832" t="str">
        <f t="shared" ca="1" si="142"/>
        <v>Mr. Suresh Rao</v>
      </c>
      <c r="C832">
        <f t="shared" ca="1" si="143"/>
        <v>44</v>
      </c>
      <c r="D832" t="str">
        <f t="shared" ca="1" si="144"/>
        <v>Female</v>
      </c>
      <c r="E832">
        <f t="shared" ca="1" si="145"/>
        <v>463818</v>
      </c>
      <c r="F832">
        <f t="shared" ca="1" si="146"/>
        <v>460125</v>
      </c>
      <c r="G832">
        <f t="shared" ca="1" si="147"/>
        <v>84</v>
      </c>
      <c r="H832">
        <f t="shared" ca="1" si="148"/>
        <v>829</v>
      </c>
      <c r="I832" t="str">
        <f t="shared" ca="1" si="149"/>
        <v>Business</v>
      </c>
      <c r="J832" t="str">
        <f t="shared" ca="1" si="150"/>
        <v>Car</v>
      </c>
      <c r="K832" t="str">
        <f t="shared" ca="1" si="151"/>
        <v>Approved</v>
      </c>
      <c r="L832">
        <f t="shared" si="138"/>
        <v>971</v>
      </c>
      <c r="M832">
        <f t="shared" ca="1" si="139"/>
        <v>612</v>
      </c>
      <c r="N832">
        <f t="shared" ca="1" si="140"/>
        <v>292</v>
      </c>
      <c r="O832" s="2">
        <f t="shared" ca="1" si="141"/>
        <v>0.63027806385169927</v>
      </c>
    </row>
    <row r="833" spans="1:15" x14ac:dyDescent="0.3">
      <c r="A833" s="3" t="s">
        <v>1038</v>
      </c>
      <c r="B833" t="str">
        <f t="shared" ca="1" si="142"/>
        <v>Ms. Priya Sharma</v>
      </c>
      <c r="C833">
        <f t="shared" ca="1" si="143"/>
        <v>49</v>
      </c>
      <c r="D833" t="str">
        <f t="shared" ca="1" si="144"/>
        <v>Female</v>
      </c>
      <c r="E833">
        <f t="shared" ca="1" si="145"/>
        <v>1326801</v>
      </c>
      <c r="F833">
        <f t="shared" ca="1" si="146"/>
        <v>1367712</v>
      </c>
      <c r="G833">
        <f t="shared" ca="1" si="147"/>
        <v>60</v>
      </c>
      <c r="H833">
        <f t="shared" ca="1" si="148"/>
        <v>547</v>
      </c>
      <c r="I833" t="str">
        <f t="shared" ca="1" si="149"/>
        <v>Business</v>
      </c>
      <c r="J833" t="str">
        <f t="shared" ca="1" si="150"/>
        <v>Education</v>
      </c>
      <c r="K833" t="str">
        <f t="shared" ca="1" si="151"/>
        <v>Approved</v>
      </c>
      <c r="L833">
        <f t="shared" si="138"/>
        <v>971</v>
      </c>
      <c r="M833">
        <f t="shared" ca="1" si="139"/>
        <v>612</v>
      </c>
      <c r="N833">
        <f t="shared" ca="1" si="140"/>
        <v>292</v>
      </c>
      <c r="O833" s="2">
        <f t="shared" ca="1" si="141"/>
        <v>0.63027806385169927</v>
      </c>
    </row>
    <row r="834" spans="1:15" x14ac:dyDescent="0.3">
      <c r="A834" s="3" t="s">
        <v>1039</v>
      </c>
      <c r="B834" t="str">
        <f t="shared" ca="1" si="142"/>
        <v>Mr. Rohan Gupta</v>
      </c>
      <c r="C834">
        <f t="shared" ca="1" si="143"/>
        <v>61</v>
      </c>
      <c r="D834" t="str">
        <f t="shared" ca="1" si="144"/>
        <v>Female</v>
      </c>
      <c r="E834">
        <f t="shared" ca="1" si="145"/>
        <v>1623754</v>
      </c>
      <c r="F834">
        <f t="shared" ca="1" si="146"/>
        <v>1640701</v>
      </c>
      <c r="G834">
        <f t="shared" ca="1" si="147"/>
        <v>12</v>
      </c>
      <c r="H834">
        <f t="shared" ca="1" si="148"/>
        <v>900</v>
      </c>
      <c r="I834" t="str">
        <f t="shared" ca="1" si="149"/>
        <v>Student</v>
      </c>
      <c r="J834" t="str">
        <f t="shared" ca="1" si="150"/>
        <v>Car</v>
      </c>
      <c r="K834" t="str">
        <f t="shared" ca="1" si="151"/>
        <v>Approved</v>
      </c>
      <c r="L834">
        <f t="shared" ref="L834:L897" si="152">COUNTA($A$2:$A$1001)</f>
        <v>971</v>
      </c>
      <c r="M834">
        <f t="shared" ca="1" si="139"/>
        <v>612</v>
      </c>
      <c r="N834">
        <f t="shared" ca="1" si="140"/>
        <v>292</v>
      </c>
      <c r="O834" s="2">
        <f t="shared" ca="1" si="141"/>
        <v>0.63027806385169927</v>
      </c>
    </row>
    <row r="835" spans="1:15" x14ac:dyDescent="0.3">
      <c r="A835" s="3" t="s">
        <v>1040</v>
      </c>
      <c r="B835" t="str">
        <f t="shared" ca="1" si="142"/>
        <v>Ms. Priya Sharma</v>
      </c>
      <c r="C835">
        <f t="shared" ca="1" si="143"/>
        <v>46</v>
      </c>
      <c r="D835" t="str">
        <f t="shared" ca="1" si="144"/>
        <v>Male</v>
      </c>
      <c r="E835">
        <f t="shared" ca="1" si="145"/>
        <v>1194784</v>
      </c>
      <c r="F835">
        <f t="shared" ca="1" si="146"/>
        <v>377636</v>
      </c>
      <c r="G835">
        <f t="shared" ca="1" si="147"/>
        <v>36</v>
      </c>
      <c r="H835">
        <f t="shared" ca="1" si="148"/>
        <v>565</v>
      </c>
      <c r="I835" t="str">
        <f t="shared" ca="1" si="149"/>
        <v>Salaried</v>
      </c>
      <c r="J835" t="str">
        <f t="shared" ca="1" si="150"/>
        <v>Car</v>
      </c>
      <c r="K835" t="str">
        <f t="shared" ca="1" si="151"/>
        <v>Approved</v>
      </c>
      <c r="L835">
        <f t="shared" si="152"/>
        <v>971</v>
      </c>
      <c r="M835">
        <f t="shared" ref="M835:M898" ca="1" si="153">COUNTIF($K$2:$K$1001,"Approved")</f>
        <v>612</v>
      </c>
      <c r="N835">
        <f t="shared" ref="N835:N898" ca="1" si="154">COUNTIF($K$2:$K$1001,"Rejected")</f>
        <v>292</v>
      </c>
      <c r="O835" s="2">
        <f t="shared" ref="O835:O898" ca="1" si="155">COUNTIF($K$2:$K$1001,"Approved") / COUNTA($A$2:$A$1001)</f>
        <v>0.63027806385169927</v>
      </c>
    </row>
    <row r="836" spans="1:15" x14ac:dyDescent="0.3">
      <c r="A836" s="3" t="s">
        <v>1041</v>
      </c>
      <c r="B836" t="str">
        <f t="shared" ca="1" si="142"/>
        <v>Mr. Rohan Gupta</v>
      </c>
      <c r="C836">
        <f t="shared" ca="1" si="143"/>
        <v>53</v>
      </c>
      <c r="D836" t="str">
        <f t="shared" ca="1" si="144"/>
        <v>Male</v>
      </c>
      <c r="E836">
        <f t="shared" ca="1" si="145"/>
        <v>1240283</v>
      </c>
      <c r="F836">
        <f t="shared" ca="1" si="146"/>
        <v>569858</v>
      </c>
      <c r="G836">
        <f t="shared" ca="1" si="147"/>
        <v>36</v>
      </c>
      <c r="H836">
        <f t="shared" ca="1" si="148"/>
        <v>402</v>
      </c>
      <c r="I836" t="str">
        <f t="shared" ca="1" si="149"/>
        <v>Contract-Based</v>
      </c>
      <c r="J836" t="str">
        <f t="shared" ca="1" si="150"/>
        <v>Home</v>
      </c>
      <c r="K836" t="str">
        <f t="shared" ca="1" si="151"/>
        <v>Approved</v>
      </c>
      <c r="L836">
        <f t="shared" si="152"/>
        <v>971</v>
      </c>
      <c r="M836">
        <f t="shared" ca="1" si="153"/>
        <v>612</v>
      </c>
      <c r="N836">
        <f t="shared" ca="1" si="154"/>
        <v>292</v>
      </c>
      <c r="O836" s="2">
        <f t="shared" ca="1" si="155"/>
        <v>0.63027806385169927</v>
      </c>
    </row>
    <row r="837" spans="1:15" x14ac:dyDescent="0.3">
      <c r="A837" s="3" t="s">
        <v>1042</v>
      </c>
      <c r="B837" t="str">
        <f t="shared" ca="1" si="142"/>
        <v>Ms. Priya Sharma</v>
      </c>
      <c r="C837">
        <f t="shared" ca="1" si="143"/>
        <v>31</v>
      </c>
      <c r="D837" t="str">
        <f t="shared" ca="1" si="144"/>
        <v>Female</v>
      </c>
      <c r="E837">
        <f t="shared" ca="1" si="145"/>
        <v>1959592</v>
      </c>
      <c r="F837">
        <f t="shared" ca="1" si="146"/>
        <v>716333</v>
      </c>
      <c r="G837">
        <f t="shared" ca="1" si="147"/>
        <v>60</v>
      </c>
      <c r="H837">
        <f t="shared" ca="1" si="148"/>
        <v>788</v>
      </c>
      <c r="I837" t="str">
        <f t="shared" ca="1" si="149"/>
        <v>Student</v>
      </c>
      <c r="J837" t="str">
        <f t="shared" ca="1" si="150"/>
        <v>Car</v>
      </c>
      <c r="K837" t="str">
        <f t="shared" ca="1" si="151"/>
        <v>Approved</v>
      </c>
      <c r="L837">
        <f t="shared" si="152"/>
        <v>971</v>
      </c>
      <c r="M837">
        <f t="shared" ca="1" si="153"/>
        <v>612</v>
      </c>
      <c r="N837">
        <f t="shared" ca="1" si="154"/>
        <v>292</v>
      </c>
      <c r="O837" s="2">
        <f t="shared" ca="1" si="155"/>
        <v>0.63027806385169927</v>
      </c>
    </row>
    <row r="838" spans="1:15" x14ac:dyDescent="0.3">
      <c r="A838" s="3" t="s">
        <v>1043</v>
      </c>
      <c r="B838" t="str">
        <f t="shared" ca="1" si="142"/>
        <v>Mr. Raj Kumar</v>
      </c>
      <c r="C838">
        <f t="shared" ca="1" si="143"/>
        <v>64</v>
      </c>
      <c r="D838" t="str">
        <f t="shared" ca="1" si="144"/>
        <v>Male</v>
      </c>
      <c r="E838">
        <f t="shared" ca="1" si="145"/>
        <v>633621</v>
      </c>
      <c r="F838">
        <f t="shared" ca="1" si="146"/>
        <v>540002</v>
      </c>
      <c r="G838">
        <f t="shared" ca="1" si="147"/>
        <v>84</v>
      </c>
      <c r="H838">
        <f t="shared" ca="1" si="148"/>
        <v>417</v>
      </c>
      <c r="I838" t="str">
        <f t="shared" ca="1" si="149"/>
        <v>Student</v>
      </c>
      <c r="J838" t="str">
        <f t="shared" ca="1" si="150"/>
        <v>Car</v>
      </c>
      <c r="K838" t="str">
        <f t="shared" ca="1" si="151"/>
        <v>Approved</v>
      </c>
      <c r="L838">
        <f t="shared" si="152"/>
        <v>971</v>
      </c>
      <c r="M838">
        <f t="shared" ca="1" si="153"/>
        <v>612</v>
      </c>
      <c r="N838">
        <f t="shared" ca="1" si="154"/>
        <v>292</v>
      </c>
      <c r="O838" s="2">
        <f t="shared" ca="1" si="155"/>
        <v>0.63027806385169927</v>
      </c>
    </row>
    <row r="839" spans="1:15" x14ac:dyDescent="0.3">
      <c r="A839" s="3" t="s">
        <v>1044</v>
      </c>
      <c r="B839" t="str">
        <f t="shared" ca="1" si="142"/>
        <v>Mr. Arun Kumar</v>
      </c>
      <c r="C839">
        <f t="shared" ca="1" si="143"/>
        <v>54</v>
      </c>
      <c r="D839" t="str">
        <f t="shared" ca="1" si="144"/>
        <v>Male</v>
      </c>
      <c r="E839">
        <f t="shared" ca="1" si="145"/>
        <v>1339616</v>
      </c>
      <c r="F839">
        <f t="shared" ca="1" si="146"/>
        <v>642205</v>
      </c>
      <c r="G839">
        <f t="shared" ca="1" si="147"/>
        <v>60</v>
      </c>
      <c r="H839">
        <f t="shared" ca="1" si="148"/>
        <v>827</v>
      </c>
      <c r="I839" t="str">
        <f t="shared" ca="1" si="149"/>
        <v>Salaried</v>
      </c>
      <c r="J839" t="str">
        <f t="shared" ca="1" si="150"/>
        <v>Education</v>
      </c>
      <c r="K839" t="str">
        <f t="shared" ca="1" si="151"/>
        <v>Approved</v>
      </c>
      <c r="L839">
        <f t="shared" si="152"/>
        <v>971</v>
      </c>
      <c r="M839">
        <f t="shared" ca="1" si="153"/>
        <v>612</v>
      </c>
      <c r="N839">
        <f t="shared" ca="1" si="154"/>
        <v>292</v>
      </c>
      <c r="O839" s="2">
        <f t="shared" ca="1" si="155"/>
        <v>0.63027806385169927</v>
      </c>
    </row>
    <row r="840" spans="1:15" x14ac:dyDescent="0.3">
      <c r="A840" s="3" t="s">
        <v>1045</v>
      </c>
      <c r="B840" t="str">
        <f t="shared" ca="1" si="142"/>
        <v>Ms. Kajal Yadav</v>
      </c>
      <c r="C840">
        <f t="shared" ca="1" si="143"/>
        <v>24</v>
      </c>
      <c r="D840" t="str">
        <f t="shared" ca="1" si="144"/>
        <v>Female</v>
      </c>
      <c r="E840">
        <f t="shared" ca="1" si="145"/>
        <v>346535</v>
      </c>
      <c r="F840">
        <f t="shared" ca="1" si="146"/>
        <v>1178307</v>
      </c>
      <c r="G840">
        <f t="shared" ca="1" si="147"/>
        <v>72</v>
      </c>
      <c r="H840">
        <f t="shared" ca="1" si="148"/>
        <v>891</v>
      </c>
      <c r="I840" t="str">
        <f t="shared" ca="1" si="149"/>
        <v>Freelancer</v>
      </c>
      <c r="J840" t="str">
        <f t="shared" ca="1" si="150"/>
        <v>Business</v>
      </c>
      <c r="K840" t="str">
        <f t="shared" ca="1" si="151"/>
        <v>Approved</v>
      </c>
      <c r="L840">
        <f t="shared" si="152"/>
        <v>971</v>
      </c>
      <c r="M840">
        <f t="shared" ca="1" si="153"/>
        <v>612</v>
      </c>
      <c r="N840">
        <f t="shared" ca="1" si="154"/>
        <v>292</v>
      </c>
      <c r="O840" s="2">
        <f t="shared" ca="1" si="155"/>
        <v>0.63027806385169927</v>
      </c>
    </row>
    <row r="841" spans="1:15" x14ac:dyDescent="0.3">
      <c r="A841" s="3" t="s">
        <v>1046</v>
      </c>
      <c r="B841" t="str">
        <f t="shared" ca="1" si="142"/>
        <v>Mr. Amit Das</v>
      </c>
      <c r="C841">
        <f t="shared" ca="1" si="143"/>
        <v>32</v>
      </c>
      <c r="D841" t="str">
        <f t="shared" ca="1" si="144"/>
        <v>Male</v>
      </c>
      <c r="E841">
        <f t="shared" ca="1" si="145"/>
        <v>1343643</v>
      </c>
      <c r="F841">
        <f t="shared" ca="1" si="146"/>
        <v>1643605</v>
      </c>
      <c r="G841">
        <f t="shared" ca="1" si="147"/>
        <v>36</v>
      </c>
      <c r="H841">
        <f t="shared" ca="1" si="148"/>
        <v>435</v>
      </c>
      <c r="I841" t="str">
        <f t="shared" ca="1" si="149"/>
        <v>Student</v>
      </c>
      <c r="J841" t="str">
        <f t="shared" ca="1" si="150"/>
        <v>Business</v>
      </c>
      <c r="K841" t="str">
        <f t="shared" ca="1" si="151"/>
        <v>Approved</v>
      </c>
      <c r="L841">
        <f t="shared" si="152"/>
        <v>971</v>
      </c>
      <c r="M841">
        <f t="shared" ca="1" si="153"/>
        <v>612</v>
      </c>
      <c r="N841">
        <f t="shared" ca="1" si="154"/>
        <v>292</v>
      </c>
      <c r="O841" s="2">
        <f t="shared" ca="1" si="155"/>
        <v>0.63027806385169927</v>
      </c>
    </row>
    <row r="842" spans="1:15" x14ac:dyDescent="0.3">
      <c r="A842" s="3" t="s">
        <v>1047</v>
      </c>
      <c r="B842" t="str">
        <f t="shared" ca="1" si="142"/>
        <v>Mr. Suresh Rao</v>
      </c>
      <c r="C842">
        <f t="shared" ca="1" si="143"/>
        <v>35</v>
      </c>
      <c r="D842" t="str">
        <f t="shared" ca="1" si="144"/>
        <v>Female</v>
      </c>
      <c r="E842">
        <f t="shared" ca="1" si="145"/>
        <v>617210</v>
      </c>
      <c r="F842">
        <f t="shared" ca="1" si="146"/>
        <v>1101608</v>
      </c>
      <c r="G842">
        <f t="shared" ca="1" si="147"/>
        <v>60</v>
      </c>
      <c r="H842">
        <f t="shared" ca="1" si="148"/>
        <v>817</v>
      </c>
      <c r="I842" t="str">
        <f t="shared" ca="1" si="149"/>
        <v>Business</v>
      </c>
      <c r="J842" t="str">
        <f t="shared" ca="1" si="150"/>
        <v>Car</v>
      </c>
      <c r="K842" t="str">
        <f t="shared" ca="1" si="151"/>
        <v>Rejected</v>
      </c>
      <c r="L842">
        <f t="shared" si="152"/>
        <v>971</v>
      </c>
      <c r="M842">
        <f t="shared" ca="1" si="153"/>
        <v>612</v>
      </c>
      <c r="N842">
        <f t="shared" ca="1" si="154"/>
        <v>292</v>
      </c>
      <c r="O842" s="2">
        <f t="shared" ca="1" si="155"/>
        <v>0.63027806385169927</v>
      </c>
    </row>
    <row r="843" spans="1:15" x14ac:dyDescent="0.3">
      <c r="A843" s="3" t="s">
        <v>1048</v>
      </c>
      <c r="B843" t="str">
        <f t="shared" ref="B843:B906" ca="1" si="156">CHOOSE(RANDBETWEEN(1,10),
"Mr. Raj Kumar","Ms. Priya Sharma","Mr. Amit Das","Ms. Anjali Singh","Mr. Rohan Gupta",
"Ms. Neha Verma","Mr. Suresh Rao","Ms. Pooja Patel","Mr. Arun Kumar","Ms. Kajal Yadav")</f>
        <v>Mr. Arun Kumar</v>
      </c>
      <c r="C843">
        <f t="shared" ref="C843:C906" ca="1" si="157">RANDBETWEEN(21,65)</f>
        <v>24</v>
      </c>
      <c r="D843" t="str">
        <f t="shared" ref="D843:D906" ca="1" si="158">IF(LEFT(B643,3)="Mr.","Male","Female")</f>
        <v>Female</v>
      </c>
      <c r="E843">
        <f t="shared" ref="E843:E906" ca="1" si="159">RANDBETWEEN(200000,2000000)</f>
        <v>985488</v>
      </c>
      <c r="F843">
        <f t="shared" ref="F843:F906" ca="1" si="160">RANDBETWEEN(50000,2500000)</f>
        <v>255333</v>
      </c>
      <c r="G843">
        <f t="shared" ref="G843:G906" ca="1" si="161">CHOOSE(RANDBETWEEN(1,7),12,24,36,48,60,72,84)</f>
        <v>60</v>
      </c>
      <c r="H843">
        <f t="shared" ref="H843:H906" ca="1" si="162">RANDBETWEEN(300,900)</f>
        <v>619</v>
      </c>
      <c r="I843" t="str">
        <f t="shared" ref="I843:I906" ca="1" si="163">CHOOSE(RANDBETWEEN(1,6),
"Salaried","Self-Employed","Business","Freelancer","Student","Contract-Based")</f>
        <v>Student</v>
      </c>
      <c r="J843" t="str">
        <f t="shared" ref="J843:J906" ca="1" si="164">CHOOSE(RANDBETWEEN(1,5),
"Home","Car","Education","Business","Personal")</f>
        <v>Home</v>
      </c>
      <c r="K843" t="str">
        <f t="shared" ref="K843:K906" ca="1" si="165">IF(RANDBETWEEN(1,100)&lt;=70,"Approved","Rejected")</f>
        <v>Approved</v>
      </c>
      <c r="L843">
        <f t="shared" si="152"/>
        <v>971</v>
      </c>
      <c r="M843">
        <f t="shared" ca="1" si="153"/>
        <v>612</v>
      </c>
      <c r="N843">
        <f t="shared" ca="1" si="154"/>
        <v>292</v>
      </c>
      <c r="O843" s="2">
        <f t="shared" ca="1" si="155"/>
        <v>0.63027806385169927</v>
      </c>
    </row>
    <row r="844" spans="1:15" x14ac:dyDescent="0.3">
      <c r="A844" s="3" t="s">
        <v>1049</v>
      </c>
      <c r="B844" t="str">
        <f t="shared" ca="1" si="156"/>
        <v>Ms. Anjali Singh</v>
      </c>
      <c r="C844">
        <f t="shared" ca="1" si="157"/>
        <v>53</v>
      </c>
      <c r="D844" t="str">
        <f t="shared" ca="1" si="158"/>
        <v>Male</v>
      </c>
      <c r="E844">
        <f t="shared" ca="1" si="159"/>
        <v>507359</v>
      </c>
      <c r="F844">
        <f t="shared" ca="1" si="160"/>
        <v>1777855</v>
      </c>
      <c r="G844">
        <f t="shared" ca="1" si="161"/>
        <v>60</v>
      </c>
      <c r="H844">
        <f t="shared" ca="1" si="162"/>
        <v>426</v>
      </c>
      <c r="I844" t="str">
        <f t="shared" ca="1" si="163"/>
        <v>Contract-Based</v>
      </c>
      <c r="J844" t="str">
        <f t="shared" ca="1" si="164"/>
        <v>Personal</v>
      </c>
      <c r="K844" t="str">
        <f t="shared" ca="1" si="165"/>
        <v>Rejected</v>
      </c>
      <c r="L844">
        <f t="shared" si="152"/>
        <v>971</v>
      </c>
      <c r="M844">
        <f t="shared" ca="1" si="153"/>
        <v>612</v>
      </c>
      <c r="N844">
        <f t="shared" ca="1" si="154"/>
        <v>292</v>
      </c>
      <c r="O844" s="2">
        <f t="shared" ca="1" si="155"/>
        <v>0.63027806385169927</v>
      </c>
    </row>
    <row r="845" spans="1:15" x14ac:dyDescent="0.3">
      <c r="A845" s="3" t="s">
        <v>1050</v>
      </c>
      <c r="B845" t="str">
        <f t="shared" ca="1" si="156"/>
        <v>Mr. Rohan Gupta</v>
      </c>
      <c r="C845">
        <f t="shared" ca="1" si="157"/>
        <v>60</v>
      </c>
      <c r="D845" t="str">
        <f t="shared" ca="1" si="158"/>
        <v>Female</v>
      </c>
      <c r="E845">
        <f t="shared" ca="1" si="159"/>
        <v>1119899</v>
      </c>
      <c r="F845">
        <f t="shared" ca="1" si="160"/>
        <v>1393858</v>
      </c>
      <c r="G845">
        <f t="shared" ca="1" si="161"/>
        <v>36</v>
      </c>
      <c r="H845">
        <f t="shared" ca="1" si="162"/>
        <v>336</v>
      </c>
      <c r="I845" t="str">
        <f t="shared" ca="1" si="163"/>
        <v>Contract-Based</v>
      </c>
      <c r="J845" t="str">
        <f t="shared" ca="1" si="164"/>
        <v>Education</v>
      </c>
      <c r="K845" t="str">
        <f t="shared" ca="1" si="165"/>
        <v>Approved</v>
      </c>
      <c r="L845">
        <f t="shared" si="152"/>
        <v>971</v>
      </c>
      <c r="M845">
        <f t="shared" ca="1" si="153"/>
        <v>612</v>
      </c>
      <c r="N845">
        <f t="shared" ca="1" si="154"/>
        <v>292</v>
      </c>
      <c r="O845" s="2">
        <f t="shared" ca="1" si="155"/>
        <v>0.63027806385169927</v>
      </c>
    </row>
    <row r="846" spans="1:15" x14ac:dyDescent="0.3">
      <c r="A846" s="3" t="s">
        <v>1051</v>
      </c>
      <c r="B846" t="str">
        <f t="shared" ca="1" si="156"/>
        <v>Ms. Priya Sharma</v>
      </c>
      <c r="C846">
        <f t="shared" ca="1" si="157"/>
        <v>33</v>
      </c>
      <c r="D846" t="str">
        <f t="shared" ca="1" si="158"/>
        <v>Male</v>
      </c>
      <c r="E846">
        <f t="shared" ca="1" si="159"/>
        <v>1573238</v>
      </c>
      <c r="F846">
        <f t="shared" ca="1" si="160"/>
        <v>1802896</v>
      </c>
      <c r="G846">
        <f t="shared" ca="1" si="161"/>
        <v>84</v>
      </c>
      <c r="H846">
        <f t="shared" ca="1" si="162"/>
        <v>441</v>
      </c>
      <c r="I846" t="str">
        <f t="shared" ca="1" si="163"/>
        <v>Salaried</v>
      </c>
      <c r="J846" t="str">
        <f t="shared" ca="1" si="164"/>
        <v>Education</v>
      </c>
      <c r="K846" t="str">
        <f t="shared" ca="1" si="165"/>
        <v>Rejected</v>
      </c>
      <c r="L846">
        <f t="shared" si="152"/>
        <v>971</v>
      </c>
      <c r="M846">
        <f t="shared" ca="1" si="153"/>
        <v>612</v>
      </c>
      <c r="N846">
        <f t="shared" ca="1" si="154"/>
        <v>292</v>
      </c>
      <c r="O846" s="2">
        <f t="shared" ca="1" si="155"/>
        <v>0.63027806385169927</v>
      </c>
    </row>
    <row r="847" spans="1:15" x14ac:dyDescent="0.3">
      <c r="A847" s="3" t="s">
        <v>1052</v>
      </c>
      <c r="B847" t="str">
        <f t="shared" ca="1" si="156"/>
        <v>Mr. Raj Kumar</v>
      </c>
      <c r="C847">
        <f t="shared" ca="1" si="157"/>
        <v>38</v>
      </c>
      <c r="D847" t="str">
        <f t="shared" ca="1" si="158"/>
        <v>Male</v>
      </c>
      <c r="E847">
        <f t="shared" ca="1" si="159"/>
        <v>772057</v>
      </c>
      <c r="F847">
        <f t="shared" ca="1" si="160"/>
        <v>1629414</v>
      </c>
      <c r="G847">
        <f t="shared" ca="1" si="161"/>
        <v>60</v>
      </c>
      <c r="H847">
        <f t="shared" ca="1" si="162"/>
        <v>804</v>
      </c>
      <c r="I847" t="str">
        <f t="shared" ca="1" si="163"/>
        <v>Self-Employed</v>
      </c>
      <c r="J847" t="str">
        <f t="shared" ca="1" si="164"/>
        <v>Home</v>
      </c>
      <c r="K847" t="str">
        <f t="shared" ca="1" si="165"/>
        <v>Rejected</v>
      </c>
      <c r="L847">
        <f t="shared" si="152"/>
        <v>971</v>
      </c>
      <c r="M847">
        <f t="shared" ca="1" si="153"/>
        <v>612</v>
      </c>
      <c r="N847">
        <f t="shared" ca="1" si="154"/>
        <v>292</v>
      </c>
      <c r="O847" s="2">
        <f t="shared" ca="1" si="155"/>
        <v>0.63027806385169927</v>
      </c>
    </row>
    <row r="848" spans="1:15" x14ac:dyDescent="0.3">
      <c r="A848" s="3" t="s">
        <v>1053</v>
      </c>
      <c r="B848" t="str">
        <f t="shared" ca="1" si="156"/>
        <v>Mr. Rohan Gupta</v>
      </c>
      <c r="C848">
        <f t="shared" ca="1" si="157"/>
        <v>35</v>
      </c>
      <c r="D848" t="str">
        <f t="shared" ca="1" si="158"/>
        <v>Male</v>
      </c>
      <c r="E848">
        <f t="shared" ca="1" si="159"/>
        <v>1802493</v>
      </c>
      <c r="F848">
        <f t="shared" ca="1" si="160"/>
        <v>912143</v>
      </c>
      <c r="G848">
        <f t="shared" ca="1" si="161"/>
        <v>84</v>
      </c>
      <c r="H848">
        <f t="shared" ca="1" si="162"/>
        <v>748</v>
      </c>
      <c r="I848" t="str">
        <f t="shared" ca="1" si="163"/>
        <v>Freelancer</v>
      </c>
      <c r="J848" t="str">
        <f t="shared" ca="1" si="164"/>
        <v>Business</v>
      </c>
      <c r="K848" t="str">
        <f t="shared" ca="1" si="165"/>
        <v>Rejected</v>
      </c>
      <c r="L848">
        <f t="shared" si="152"/>
        <v>971</v>
      </c>
      <c r="M848">
        <f t="shared" ca="1" si="153"/>
        <v>612</v>
      </c>
      <c r="N848">
        <f t="shared" ca="1" si="154"/>
        <v>292</v>
      </c>
      <c r="O848" s="2">
        <f t="shared" ca="1" si="155"/>
        <v>0.63027806385169927</v>
      </c>
    </row>
    <row r="849" spans="1:15" x14ac:dyDescent="0.3">
      <c r="A849" s="3" t="s">
        <v>1054</v>
      </c>
      <c r="B849" t="str">
        <f t="shared" ca="1" si="156"/>
        <v>Mr. Amit Das</v>
      </c>
      <c r="C849">
        <f t="shared" ca="1" si="157"/>
        <v>45</v>
      </c>
      <c r="D849" t="str">
        <f t="shared" ca="1" si="158"/>
        <v>Male</v>
      </c>
      <c r="E849">
        <f t="shared" ca="1" si="159"/>
        <v>382473</v>
      </c>
      <c r="F849">
        <f t="shared" ca="1" si="160"/>
        <v>842916</v>
      </c>
      <c r="G849">
        <f t="shared" ca="1" si="161"/>
        <v>12</v>
      </c>
      <c r="H849">
        <f t="shared" ca="1" si="162"/>
        <v>493</v>
      </c>
      <c r="I849" t="str">
        <f t="shared" ca="1" si="163"/>
        <v>Salaried</v>
      </c>
      <c r="J849" t="str">
        <f t="shared" ca="1" si="164"/>
        <v>Car</v>
      </c>
      <c r="K849" t="str">
        <f t="shared" ca="1" si="165"/>
        <v>Approved</v>
      </c>
      <c r="L849">
        <f t="shared" si="152"/>
        <v>971</v>
      </c>
      <c r="M849">
        <f t="shared" ca="1" si="153"/>
        <v>612</v>
      </c>
      <c r="N849">
        <f t="shared" ca="1" si="154"/>
        <v>292</v>
      </c>
      <c r="O849" s="2">
        <f t="shared" ca="1" si="155"/>
        <v>0.63027806385169927</v>
      </c>
    </row>
    <row r="850" spans="1:15" x14ac:dyDescent="0.3">
      <c r="A850" s="3" t="s">
        <v>1055</v>
      </c>
      <c r="B850" t="str">
        <f t="shared" ca="1" si="156"/>
        <v>Ms. Priya Sharma</v>
      </c>
      <c r="C850">
        <f t="shared" ca="1" si="157"/>
        <v>46</v>
      </c>
      <c r="D850" t="str">
        <f t="shared" ca="1" si="158"/>
        <v>Male</v>
      </c>
      <c r="E850">
        <f t="shared" ca="1" si="159"/>
        <v>897584</v>
      </c>
      <c r="F850">
        <f t="shared" ca="1" si="160"/>
        <v>366451</v>
      </c>
      <c r="G850">
        <f t="shared" ca="1" si="161"/>
        <v>84</v>
      </c>
      <c r="H850">
        <f t="shared" ca="1" si="162"/>
        <v>305</v>
      </c>
      <c r="I850" t="str">
        <f t="shared" ca="1" si="163"/>
        <v>Salaried</v>
      </c>
      <c r="J850" t="str">
        <f t="shared" ca="1" si="164"/>
        <v>Business</v>
      </c>
      <c r="K850" t="str">
        <f t="shared" ca="1" si="165"/>
        <v>Rejected</v>
      </c>
      <c r="L850">
        <f t="shared" si="152"/>
        <v>971</v>
      </c>
      <c r="M850">
        <f t="shared" ca="1" si="153"/>
        <v>612</v>
      </c>
      <c r="N850">
        <f t="shared" ca="1" si="154"/>
        <v>292</v>
      </c>
      <c r="O850" s="2">
        <f t="shared" ca="1" si="155"/>
        <v>0.63027806385169927</v>
      </c>
    </row>
    <row r="851" spans="1:15" x14ac:dyDescent="0.3">
      <c r="A851" s="3" t="s">
        <v>1056</v>
      </c>
      <c r="B851" t="str">
        <f t="shared" ca="1" si="156"/>
        <v>Ms. Kajal Yadav</v>
      </c>
      <c r="C851">
        <f t="shared" ca="1" si="157"/>
        <v>53</v>
      </c>
      <c r="D851" t="str">
        <f t="shared" ca="1" si="158"/>
        <v>Female</v>
      </c>
      <c r="E851">
        <f t="shared" ca="1" si="159"/>
        <v>1707446</v>
      </c>
      <c r="F851">
        <f t="shared" ca="1" si="160"/>
        <v>2440719</v>
      </c>
      <c r="G851">
        <f t="shared" ca="1" si="161"/>
        <v>60</v>
      </c>
      <c r="H851">
        <f t="shared" ca="1" si="162"/>
        <v>521</v>
      </c>
      <c r="I851" t="str">
        <f t="shared" ca="1" si="163"/>
        <v>Contract-Based</v>
      </c>
      <c r="J851" t="str">
        <f t="shared" ca="1" si="164"/>
        <v>Personal</v>
      </c>
      <c r="K851" t="str">
        <f t="shared" ca="1" si="165"/>
        <v>Approved</v>
      </c>
      <c r="L851">
        <f t="shared" si="152"/>
        <v>971</v>
      </c>
      <c r="M851">
        <f t="shared" ca="1" si="153"/>
        <v>612</v>
      </c>
      <c r="N851">
        <f t="shared" ca="1" si="154"/>
        <v>292</v>
      </c>
      <c r="O851" s="2">
        <f t="shared" ca="1" si="155"/>
        <v>0.63027806385169927</v>
      </c>
    </row>
    <row r="852" spans="1:15" x14ac:dyDescent="0.3">
      <c r="A852" s="3" t="s">
        <v>1057</v>
      </c>
      <c r="B852" t="str">
        <f t="shared" ca="1" si="156"/>
        <v>Ms. Anjali Singh</v>
      </c>
      <c r="C852">
        <f t="shared" ca="1" si="157"/>
        <v>51</v>
      </c>
      <c r="D852" t="str">
        <f t="shared" ca="1" si="158"/>
        <v>Male</v>
      </c>
      <c r="E852">
        <f t="shared" ca="1" si="159"/>
        <v>1296142</v>
      </c>
      <c r="F852">
        <f t="shared" ca="1" si="160"/>
        <v>1844447</v>
      </c>
      <c r="G852">
        <f t="shared" ca="1" si="161"/>
        <v>72</v>
      </c>
      <c r="H852">
        <f t="shared" ca="1" si="162"/>
        <v>560</v>
      </c>
      <c r="I852" t="str">
        <f t="shared" ca="1" si="163"/>
        <v>Contract-Based</v>
      </c>
      <c r="J852" t="str">
        <f t="shared" ca="1" si="164"/>
        <v>Education</v>
      </c>
      <c r="K852" t="str">
        <f t="shared" ca="1" si="165"/>
        <v>Approved</v>
      </c>
      <c r="L852">
        <f t="shared" si="152"/>
        <v>971</v>
      </c>
      <c r="M852">
        <f t="shared" ca="1" si="153"/>
        <v>612</v>
      </c>
      <c r="N852">
        <f t="shared" ca="1" si="154"/>
        <v>292</v>
      </c>
      <c r="O852" s="2">
        <f t="shared" ca="1" si="155"/>
        <v>0.63027806385169927</v>
      </c>
    </row>
    <row r="853" spans="1:15" x14ac:dyDescent="0.3">
      <c r="A853" s="3" t="s">
        <v>1058</v>
      </c>
      <c r="B853" t="str">
        <f t="shared" ca="1" si="156"/>
        <v>Ms. Kajal Yadav</v>
      </c>
      <c r="C853">
        <f t="shared" ca="1" si="157"/>
        <v>22</v>
      </c>
      <c r="D853" t="str">
        <f t="shared" ca="1" si="158"/>
        <v>Female</v>
      </c>
      <c r="E853">
        <f t="shared" ca="1" si="159"/>
        <v>382975</v>
      </c>
      <c r="F853">
        <f t="shared" ca="1" si="160"/>
        <v>307263</v>
      </c>
      <c r="G853">
        <f t="shared" ca="1" si="161"/>
        <v>12</v>
      </c>
      <c r="H853">
        <f t="shared" ca="1" si="162"/>
        <v>812</v>
      </c>
      <c r="I853" t="str">
        <f t="shared" ca="1" si="163"/>
        <v>Salaried</v>
      </c>
      <c r="J853" t="str">
        <f t="shared" ca="1" si="164"/>
        <v>Car</v>
      </c>
      <c r="K853" t="str">
        <f t="shared" ca="1" si="165"/>
        <v>Rejected</v>
      </c>
      <c r="L853">
        <f t="shared" si="152"/>
        <v>971</v>
      </c>
      <c r="M853">
        <f t="shared" ca="1" si="153"/>
        <v>612</v>
      </c>
      <c r="N853">
        <f t="shared" ca="1" si="154"/>
        <v>292</v>
      </c>
      <c r="O853" s="2">
        <f t="shared" ca="1" si="155"/>
        <v>0.63027806385169927</v>
      </c>
    </row>
    <row r="854" spans="1:15" x14ac:dyDescent="0.3">
      <c r="A854" s="3" t="s">
        <v>1059</v>
      </c>
      <c r="B854" t="str">
        <f t="shared" ca="1" si="156"/>
        <v>Mr. Rohan Gupta</v>
      </c>
      <c r="C854">
        <f t="shared" ca="1" si="157"/>
        <v>37</v>
      </c>
      <c r="D854" t="str">
        <f t="shared" ca="1" si="158"/>
        <v>Male</v>
      </c>
      <c r="E854">
        <f t="shared" ca="1" si="159"/>
        <v>1119284</v>
      </c>
      <c r="F854">
        <f t="shared" ca="1" si="160"/>
        <v>1951824</v>
      </c>
      <c r="G854">
        <f t="shared" ca="1" si="161"/>
        <v>36</v>
      </c>
      <c r="H854">
        <f t="shared" ca="1" si="162"/>
        <v>429</v>
      </c>
      <c r="I854" t="str">
        <f t="shared" ca="1" si="163"/>
        <v>Student</v>
      </c>
      <c r="J854" t="str">
        <f t="shared" ca="1" si="164"/>
        <v>Car</v>
      </c>
      <c r="K854" t="str">
        <f t="shared" ca="1" si="165"/>
        <v>Rejected</v>
      </c>
      <c r="L854">
        <f t="shared" si="152"/>
        <v>971</v>
      </c>
      <c r="M854">
        <f t="shared" ca="1" si="153"/>
        <v>612</v>
      </c>
      <c r="N854">
        <f t="shared" ca="1" si="154"/>
        <v>292</v>
      </c>
      <c r="O854" s="2">
        <f t="shared" ca="1" si="155"/>
        <v>0.63027806385169927</v>
      </c>
    </row>
    <row r="855" spans="1:15" x14ac:dyDescent="0.3">
      <c r="A855" s="3" t="s">
        <v>1060</v>
      </c>
      <c r="B855" t="str">
        <f t="shared" ca="1" si="156"/>
        <v>Mr. Suresh Rao</v>
      </c>
      <c r="C855">
        <f t="shared" ca="1" si="157"/>
        <v>64</v>
      </c>
      <c r="D855" t="str">
        <f t="shared" ca="1" si="158"/>
        <v>Male</v>
      </c>
      <c r="E855">
        <f t="shared" ca="1" si="159"/>
        <v>1507440</v>
      </c>
      <c r="F855">
        <f t="shared" ca="1" si="160"/>
        <v>238704</v>
      </c>
      <c r="G855">
        <f t="shared" ca="1" si="161"/>
        <v>60</v>
      </c>
      <c r="H855">
        <f t="shared" ca="1" si="162"/>
        <v>354</v>
      </c>
      <c r="I855" t="str">
        <f t="shared" ca="1" si="163"/>
        <v>Business</v>
      </c>
      <c r="J855" t="str">
        <f t="shared" ca="1" si="164"/>
        <v>Education</v>
      </c>
      <c r="K855" t="str">
        <f t="shared" ca="1" si="165"/>
        <v>Rejected</v>
      </c>
      <c r="L855">
        <f t="shared" si="152"/>
        <v>971</v>
      </c>
      <c r="M855">
        <f t="shared" ca="1" si="153"/>
        <v>612</v>
      </c>
      <c r="N855">
        <f t="shared" ca="1" si="154"/>
        <v>292</v>
      </c>
      <c r="O855" s="2">
        <f t="shared" ca="1" si="155"/>
        <v>0.63027806385169927</v>
      </c>
    </row>
    <row r="856" spans="1:15" x14ac:dyDescent="0.3">
      <c r="A856" s="3" t="s">
        <v>1061</v>
      </c>
      <c r="B856" t="str">
        <f t="shared" ca="1" si="156"/>
        <v>Mr. Suresh Rao</v>
      </c>
      <c r="C856">
        <f t="shared" ca="1" si="157"/>
        <v>49</v>
      </c>
      <c r="D856" t="str">
        <f t="shared" ca="1" si="158"/>
        <v>Male</v>
      </c>
      <c r="E856">
        <f t="shared" ca="1" si="159"/>
        <v>1862478</v>
      </c>
      <c r="F856">
        <f t="shared" ca="1" si="160"/>
        <v>68188</v>
      </c>
      <c r="G856">
        <f t="shared" ca="1" si="161"/>
        <v>60</v>
      </c>
      <c r="H856">
        <f t="shared" ca="1" si="162"/>
        <v>811</v>
      </c>
      <c r="I856" t="str">
        <f t="shared" ca="1" si="163"/>
        <v>Salaried</v>
      </c>
      <c r="J856" t="str">
        <f t="shared" ca="1" si="164"/>
        <v>Personal</v>
      </c>
      <c r="K856" t="str">
        <f t="shared" ca="1" si="165"/>
        <v>Approved</v>
      </c>
      <c r="L856">
        <f t="shared" si="152"/>
        <v>971</v>
      </c>
      <c r="M856">
        <f t="shared" ca="1" si="153"/>
        <v>612</v>
      </c>
      <c r="N856">
        <f t="shared" ca="1" si="154"/>
        <v>292</v>
      </c>
      <c r="O856" s="2">
        <f t="shared" ca="1" si="155"/>
        <v>0.63027806385169927</v>
      </c>
    </row>
    <row r="857" spans="1:15" x14ac:dyDescent="0.3">
      <c r="A857" s="3" t="s">
        <v>1062</v>
      </c>
      <c r="B857" t="str">
        <f t="shared" ca="1" si="156"/>
        <v>Ms. Priya Sharma</v>
      </c>
      <c r="C857">
        <f t="shared" ca="1" si="157"/>
        <v>28</v>
      </c>
      <c r="D857" t="str">
        <f t="shared" ca="1" si="158"/>
        <v>Female</v>
      </c>
      <c r="E857">
        <f t="shared" ca="1" si="159"/>
        <v>1809460</v>
      </c>
      <c r="F857">
        <f t="shared" ca="1" si="160"/>
        <v>504554</v>
      </c>
      <c r="G857">
        <f t="shared" ca="1" si="161"/>
        <v>48</v>
      </c>
      <c r="H857">
        <f t="shared" ca="1" si="162"/>
        <v>848</v>
      </c>
      <c r="I857" t="str">
        <f t="shared" ca="1" si="163"/>
        <v>Contract-Based</v>
      </c>
      <c r="J857" t="str">
        <f t="shared" ca="1" si="164"/>
        <v>Education</v>
      </c>
      <c r="K857" t="str">
        <f t="shared" ca="1" si="165"/>
        <v>Approved</v>
      </c>
      <c r="L857">
        <f t="shared" si="152"/>
        <v>971</v>
      </c>
      <c r="M857">
        <f t="shared" ca="1" si="153"/>
        <v>612</v>
      </c>
      <c r="N857">
        <f t="shared" ca="1" si="154"/>
        <v>292</v>
      </c>
      <c r="O857" s="2">
        <f t="shared" ca="1" si="155"/>
        <v>0.63027806385169927</v>
      </c>
    </row>
    <row r="858" spans="1:15" x14ac:dyDescent="0.3">
      <c r="A858" s="3" t="s">
        <v>1063</v>
      </c>
      <c r="B858" t="str">
        <f t="shared" ca="1" si="156"/>
        <v>Ms. Anjali Singh</v>
      </c>
      <c r="C858">
        <f t="shared" ca="1" si="157"/>
        <v>45</v>
      </c>
      <c r="D858" t="str">
        <f t="shared" ca="1" si="158"/>
        <v>Male</v>
      </c>
      <c r="E858">
        <f t="shared" ca="1" si="159"/>
        <v>1643058</v>
      </c>
      <c r="F858">
        <f t="shared" ca="1" si="160"/>
        <v>2330648</v>
      </c>
      <c r="G858">
        <f t="shared" ca="1" si="161"/>
        <v>72</v>
      </c>
      <c r="H858">
        <f t="shared" ca="1" si="162"/>
        <v>698</v>
      </c>
      <c r="I858" t="str">
        <f t="shared" ca="1" si="163"/>
        <v>Self-Employed</v>
      </c>
      <c r="J858" t="str">
        <f t="shared" ca="1" si="164"/>
        <v>Home</v>
      </c>
      <c r="K858" t="str">
        <f t="shared" ca="1" si="165"/>
        <v>Approved</v>
      </c>
      <c r="L858">
        <f t="shared" si="152"/>
        <v>971</v>
      </c>
      <c r="M858">
        <f t="shared" ca="1" si="153"/>
        <v>612</v>
      </c>
      <c r="N858">
        <f t="shared" ca="1" si="154"/>
        <v>292</v>
      </c>
      <c r="O858" s="2">
        <f t="shared" ca="1" si="155"/>
        <v>0.63027806385169927</v>
      </c>
    </row>
    <row r="859" spans="1:15" x14ac:dyDescent="0.3">
      <c r="A859" s="3" t="s">
        <v>1064</v>
      </c>
      <c r="B859" t="str">
        <f t="shared" ca="1" si="156"/>
        <v>Mr. Arun Kumar</v>
      </c>
      <c r="C859">
        <f t="shared" ca="1" si="157"/>
        <v>37</v>
      </c>
      <c r="D859" t="str">
        <f t="shared" ca="1" si="158"/>
        <v>Female</v>
      </c>
      <c r="E859">
        <f t="shared" ca="1" si="159"/>
        <v>528867</v>
      </c>
      <c r="F859">
        <f t="shared" ca="1" si="160"/>
        <v>1637614</v>
      </c>
      <c r="G859">
        <f t="shared" ca="1" si="161"/>
        <v>60</v>
      </c>
      <c r="H859">
        <f t="shared" ca="1" si="162"/>
        <v>596</v>
      </c>
      <c r="I859" t="str">
        <f t="shared" ca="1" si="163"/>
        <v>Contract-Based</v>
      </c>
      <c r="J859" t="str">
        <f t="shared" ca="1" si="164"/>
        <v>Car</v>
      </c>
      <c r="K859" t="str">
        <f t="shared" ca="1" si="165"/>
        <v>Approved</v>
      </c>
      <c r="L859">
        <f t="shared" si="152"/>
        <v>971</v>
      </c>
      <c r="M859">
        <f t="shared" ca="1" si="153"/>
        <v>612</v>
      </c>
      <c r="N859">
        <f t="shared" ca="1" si="154"/>
        <v>292</v>
      </c>
      <c r="O859" s="2">
        <f t="shared" ca="1" si="155"/>
        <v>0.63027806385169927</v>
      </c>
    </row>
    <row r="860" spans="1:15" x14ac:dyDescent="0.3">
      <c r="A860" s="3" t="s">
        <v>1065</v>
      </c>
      <c r="B860" t="str">
        <f t="shared" ca="1" si="156"/>
        <v>Mr. Rohan Gupta</v>
      </c>
      <c r="C860">
        <f t="shared" ca="1" si="157"/>
        <v>50</v>
      </c>
      <c r="D860" t="str">
        <f t="shared" ca="1" si="158"/>
        <v>Female</v>
      </c>
      <c r="E860">
        <f t="shared" ca="1" si="159"/>
        <v>1626057</v>
      </c>
      <c r="F860">
        <f t="shared" ca="1" si="160"/>
        <v>2047490</v>
      </c>
      <c r="G860">
        <f t="shared" ca="1" si="161"/>
        <v>48</v>
      </c>
      <c r="H860">
        <f t="shared" ca="1" si="162"/>
        <v>454</v>
      </c>
      <c r="I860" t="str">
        <f t="shared" ca="1" si="163"/>
        <v>Salaried</v>
      </c>
      <c r="J860" t="str">
        <f t="shared" ca="1" si="164"/>
        <v>Home</v>
      </c>
      <c r="K860" t="str">
        <f t="shared" ca="1" si="165"/>
        <v>Approved</v>
      </c>
      <c r="L860">
        <f t="shared" si="152"/>
        <v>971</v>
      </c>
      <c r="M860">
        <f t="shared" ca="1" si="153"/>
        <v>612</v>
      </c>
      <c r="N860">
        <f t="shared" ca="1" si="154"/>
        <v>292</v>
      </c>
      <c r="O860" s="2">
        <f t="shared" ca="1" si="155"/>
        <v>0.63027806385169927</v>
      </c>
    </row>
    <row r="861" spans="1:15" x14ac:dyDescent="0.3">
      <c r="A861" s="3" t="s">
        <v>1066</v>
      </c>
      <c r="B861" t="str">
        <f t="shared" ca="1" si="156"/>
        <v>Ms. Kajal Yadav</v>
      </c>
      <c r="C861">
        <f t="shared" ca="1" si="157"/>
        <v>47</v>
      </c>
      <c r="D861" t="str">
        <f t="shared" ca="1" si="158"/>
        <v>Female</v>
      </c>
      <c r="E861">
        <f t="shared" ca="1" si="159"/>
        <v>1174148</v>
      </c>
      <c r="F861">
        <f t="shared" ca="1" si="160"/>
        <v>1469223</v>
      </c>
      <c r="G861">
        <f t="shared" ca="1" si="161"/>
        <v>12</v>
      </c>
      <c r="H861">
        <f t="shared" ca="1" si="162"/>
        <v>584</v>
      </c>
      <c r="I861" t="str">
        <f t="shared" ca="1" si="163"/>
        <v>Student</v>
      </c>
      <c r="J861" t="str">
        <f t="shared" ca="1" si="164"/>
        <v>Education</v>
      </c>
      <c r="K861" t="str">
        <f t="shared" ca="1" si="165"/>
        <v>Approved</v>
      </c>
      <c r="L861">
        <f t="shared" si="152"/>
        <v>971</v>
      </c>
      <c r="M861">
        <f t="shared" ca="1" si="153"/>
        <v>612</v>
      </c>
      <c r="N861">
        <f t="shared" ca="1" si="154"/>
        <v>292</v>
      </c>
      <c r="O861" s="2">
        <f t="shared" ca="1" si="155"/>
        <v>0.63027806385169927</v>
      </c>
    </row>
    <row r="862" spans="1:15" x14ac:dyDescent="0.3">
      <c r="A862" s="3" t="s">
        <v>1067</v>
      </c>
      <c r="B862" t="str">
        <f t="shared" ca="1" si="156"/>
        <v>Mr. Arun Kumar</v>
      </c>
      <c r="C862">
        <f t="shared" ca="1" si="157"/>
        <v>39</v>
      </c>
      <c r="D862" t="str">
        <f t="shared" ca="1" si="158"/>
        <v>Male</v>
      </c>
      <c r="E862">
        <f t="shared" ca="1" si="159"/>
        <v>482156</v>
      </c>
      <c r="F862">
        <f t="shared" ca="1" si="160"/>
        <v>549125</v>
      </c>
      <c r="G862">
        <f t="shared" ca="1" si="161"/>
        <v>60</v>
      </c>
      <c r="H862">
        <f t="shared" ca="1" si="162"/>
        <v>587</v>
      </c>
      <c r="I862" t="str">
        <f t="shared" ca="1" si="163"/>
        <v>Self-Employed</v>
      </c>
      <c r="J862" t="str">
        <f t="shared" ca="1" si="164"/>
        <v>Car</v>
      </c>
      <c r="K862" t="str">
        <f t="shared" ca="1" si="165"/>
        <v>Rejected</v>
      </c>
      <c r="L862">
        <f t="shared" si="152"/>
        <v>971</v>
      </c>
      <c r="M862">
        <f t="shared" ca="1" si="153"/>
        <v>612</v>
      </c>
      <c r="N862">
        <f t="shared" ca="1" si="154"/>
        <v>292</v>
      </c>
      <c r="O862" s="2">
        <f t="shared" ca="1" si="155"/>
        <v>0.63027806385169927</v>
      </c>
    </row>
    <row r="863" spans="1:15" x14ac:dyDescent="0.3">
      <c r="A863" s="3" t="s">
        <v>1068</v>
      </c>
      <c r="B863" t="str">
        <f t="shared" ca="1" si="156"/>
        <v>Mr. Amit Das</v>
      </c>
      <c r="C863">
        <f t="shared" ca="1" si="157"/>
        <v>22</v>
      </c>
      <c r="D863" t="str">
        <f t="shared" ca="1" si="158"/>
        <v>Male</v>
      </c>
      <c r="E863">
        <f t="shared" ca="1" si="159"/>
        <v>832961</v>
      </c>
      <c r="F863">
        <f t="shared" ca="1" si="160"/>
        <v>770701</v>
      </c>
      <c r="G863">
        <f t="shared" ca="1" si="161"/>
        <v>48</v>
      </c>
      <c r="H863">
        <f t="shared" ca="1" si="162"/>
        <v>539</v>
      </c>
      <c r="I863" t="str">
        <f t="shared" ca="1" si="163"/>
        <v>Freelancer</v>
      </c>
      <c r="J863" t="str">
        <f t="shared" ca="1" si="164"/>
        <v>Personal</v>
      </c>
      <c r="K863" t="str">
        <f t="shared" ca="1" si="165"/>
        <v>Approved</v>
      </c>
      <c r="L863">
        <f t="shared" si="152"/>
        <v>971</v>
      </c>
      <c r="M863">
        <f t="shared" ca="1" si="153"/>
        <v>612</v>
      </c>
      <c r="N863">
        <f t="shared" ca="1" si="154"/>
        <v>292</v>
      </c>
      <c r="O863" s="2">
        <f t="shared" ca="1" si="155"/>
        <v>0.63027806385169927</v>
      </c>
    </row>
    <row r="864" spans="1:15" x14ac:dyDescent="0.3">
      <c r="A864" s="3" t="s">
        <v>1069</v>
      </c>
      <c r="B864" t="str">
        <f t="shared" ca="1" si="156"/>
        <v>Ms. Pooja Patel</v>
      </c>
      <c r="C864">
        <f t="shared" ca="1" si="157"/>
        <v>42</v>
      </c>
      <c r="D864" t="str">
        <f t="shared" ca="1" si="158"/>
        <v>Male</v>
      </c>
      <c r="E864">
        <f t="shared" ca="1" si="159"/>
        <v>602326</v>
      </c>
      <c r="F864">
        <f t="shared" ca="1" si="160"/>
        <v>2190913</v>
      </c>
      <c r="G864">
        <f t="shared" ca="1" si="161"/>
        <v>84</v>
      </c>
      <c r="H864">
        <f t="shared" ca="1" si="162"/>
        <v>652</v>
      </c>
      <c r="I864" t="str">
        <f t="shared" ca="1" si="163"/>
        <v>Freelancer</v>
      </c>
      <c r="J864" t="str">
        <f t="shared" ca="1" si="164"/>
        <v>Car</v>
      </c>
      <c r="K864" t="str">
        <f t="shared" ca="1" si="165"/>
        <v>Approved</v>
      </c>
      <c r="L864">
        <f t="shared" si="152"/>
        <v>971</v>
      </c>
      <c r="M864">
        <f t="shared" ca="1" si="153"/>
        <v>612</v>
      </c>
      <c r="N864">
        <f t="shared" ca="1" si="154"/>
        <v>292</v>
      </c>
      <c r="O864" s="2">
        <f t="shared" ca="1" si="155"/>
        <v>0.63027806385169927</v>
      </c>
    </row>
    <row r="865" spans="1:15" x14ac:dyDescent="0.3">
      <c r="A865" s="3" t="s">
        <v>1070</v>
      </c>
      <c r="B865" t="str">
        <f t="shared" ca="1" si="156"/>
        <v>Ms. Neha Verma</v>
      </c>
      <c r="C865">
        <f t="shared" ca="1" si="157"/>
        <v>61</v>
      </c>
      <c r="D865" t="str">
        <f t="shared" ca="1" si="158"/>
        <v>Male</v>
      </c>
      <c r="E865">
        <f t="shared" ca="1" si="159"/>
        <v>1856039</v>
      </c>
      <c r="F865">
        <f t="shared" ca="1" si="160"/>
        <v>1133124</v>
      </c>
      <c r="G865">
        <f t="shared" ca="1" si="161"/>
        <v>48</v>
      </c>
      <c r="H865">
        <f t="shared" ca="1" si="162"/>
        <v>476</v>
      </c>
      <c r="I865" t="str">
        <f t="shared" ca="1" si="163"/>
        <v>Student</v>
      </c>
      <c r="J865" t="str">
        <f t="shared" ca="1" si="164"/>
        <v>Education</v>
      </c>
      <c r="K865" t="str">
        <f t="shared" ca="1" si="165"/>
        <v>Approved</v>
      </c>
      <c r="L865">
        <f t="shared" si="152"/>
        <v>971</v>
      </c>
      <c r="M865">
        <f t="shared" ca="1" si="153"/>
        <v>612</v>
      </c>
      <c r="N865">
        <f t="shared" ca="1" si="154"/>
        <v>292</v>
      </c>
      <c r="O865" s="2">
        <f t="shared" ca="1" si="155"/>
        <v>0.63027806385169927</v>
      </c>
    </row>
    <row r="866" spans="1:15" x14ac:dyDescent="0.3">
      <c r="A866" s="3" t="s">
        <v>1071</v>
      </c>
      <c r="B866" t="str">
        <f t="shared" ca="1" si="156"/>
        <v>Mr. Raj Kumar</v>
      </c>
      <c r="C866">
        <f t="shared" ca="1" si="157"/>
        <v>50</v>
      </c>
      <c r="D866" t="str">
        <f t="shared" ca="1" si="158"/>
        <v>Female</v>
      </c>
      <c r="E866">
        <f t="shared" ca="1" si="159"/>
        <v>1647652</v>
      </c>
      <c r="F866">
        <f t="shared" ca="1" si="160"/>
        <v>429104</v>
      </c>
      <c r="G866">
        <f t="shared" ca="1" si="161"/>
        <v>84</v>
      </c>
      <c r="H866">
        <f t="shared" ca="1" si="162"/>
        <v>350</v>
      </c>
      <c r="I866" t="str">
        <f t="shared" ca="1" si="163"/>
        <v>Salaried</v>
      </c>
      <c r="J866" t="str">
        <f t="shared" ca="1" si="164"/>
        <v>Home</v>
      </c>
      <c r="K866" t="str">
        <f t="shared" ca="1" si="165"/>
        <v>Approved</v>
      </c>
      <c r="L866">
        <f t="shared" si="152"/>
        <v>971</v>
      </c>
      <c r="M866">
        <f t="shared" ca="1" si="153"/>
        <v>612</v>
      </c>
      <c r="N866">
        <f t="shared" ca="1" si="154"/>
        <v>292</v>
      </c>
      <c r="O866" s="2">
        <f t="shared" ca="1" si="155"/>
        <v>0.63027806385169927</v>
      </c>
    </row>
    <row r="867" spans="1:15" x14ac:dyDescent="0.3">
      <c r="A867" s="3" t="s">
        <v>1072</v>
      </c>
      <c r="B867" t="str">
        <f t="shared" ca="1" si="156"/>
        <v>Mr. Amit Das</v>
      </c>
      <c r="C867">
        <f t="shared" ca="1" si="157"/>
        <v>24</v>
      </c>
      <c r="D867" t="str">
        <f t="shared" ca="1" si="158"/>
        <v>Female</v>
      </c>
      <c r="E867">
        <f t="shared" ca="1" si="159"/>
        <v>1534442</v>
      </c>
      <c r="F867">
        <f t="shared" ca="1" si="160"/>
        <v>157515</v>
      </c>
      <c r="G867">
        <f t="shared" ca="1" si="161"/>
        <v>12</v>
      </c>
      <c r="H867">
        <f t="shared" ca="1" si="162"/>
        <v>752</v>
      </c>
      <c r="I867" t="str">
        <f t="shared" ca="1" si="163"/>
        <v>Freelancer</v>
      </c>
      <c r="J867" t="str">
        <f t="shared" ca="1" si="164"/>
        <v>Car</v>
      </c>
      <c r="K867" t="str">
        <f t="shared" ca="1" si="165"/>
        <v>Approved</v>
      </c>
      <c r="L867">
        <f t="shared" si="152"/>
        <v>971</v>
      </c>
      <c r="M867">
        <f t="shared" ca="1" si="153"/>
        <v>612</v>
      </c>
      <c r="N867">
        <f t="shared" ca="1" si="154"/>
        <v>292</v>
      </c>
      <c r="O867" s="2">
        <f t="shared" ca="1" si="155"/>
        <v>0.63027806385169927</v>
      </c>
    </row>
    <row r="868" spans="1:15" x14ac:dyDescent="0.3">
      <c r="A868" s="3" t="s">
        <v>1073</v>
      </c>
      <c r="B868" t="str">
        <f t="shared" ca="1" si="156"/>
        <v>Ms. Anjali Singh</v>
      </c>
      <c r="C868">
        <f t="shared" ca="1" si="157"/>
        <v>49</v>
      </c>
      <c r="D868" t="str">
        <f t="shared" ca="1" si="158"/>
        <v>Female</v>
      </c>
      <c r="E868">
        <f t="shared" ca="1" si="159"/>
        <v>1542790</v>
      </c>
      <c r="F868">
        <f t="shared" ca="1" si="160"/>
        <v>1199945</v>
      </c>
      <c r="G868">
        <f t="shared" ca="1" si="161"/>
        <v>12</v>
      </c>
      <c r="H868">
        <f t="shared" ca="1" si="162"/>
        <v>753</v>
      </c>
      <c r="I868" t="str">
        <f t="shared" ca="1" si="163"/>
        <v>Student</v>
      </c>
      <c r="J868" t="str">
        <f t="shared" ca="1" si="164"/>
        <v>Personal</v>
      </c>
      <c r="K868" t="str">
        <f t="shared" ca="1" si="165"/>
        <v>Approved</v>
      </c>
      <c r="L868">
        <f t="shared" si="152"/>
        <v>971</v>
      </c>
      <c r="M868">
        <f t="shared" ca="1" si="153"/>
        <v>612</v>
      </c>
      <c r="N868">
        <f t="shared" ca="1" si="154"/>
        <v>292</v>
      </c>
      <c r="O868" s="2">
        <f t="shared" ca="1" si="155"/>
        <v>0.63027806385169927</v>
      </c>
    </row>
    <row r="869" spans="1:15" x14ac:dyDescent="0.3">
      <c r="A869" s="3" t="s">
        <v>1074</v>
      </c>
      <c r="B869" t="str">
        <f t="shared" ca="1" si="156"/>
        <v>Mr. Raj Kumar</v>
      </c>
      <c r="C869">
        <f t="shared" ca="1" si="157"/>
        <v>32</v>
      </c>
      <c r="D869" t="str">
        <f t="shared" ca="1" si="158"/>
        <v>Male</v>
      </c>
      <c r="E869">
        <f t="shared" ca="1" si="159"/>
        <v>1482614</v>
      </c>
      <c r="F869">
        <f t="shared" ca="1" si="160"/>
        <v>157777</v>
      </c>
      <c r="G869">
        <f t="shared" ca="1" si="161"/>
        <v>60</v>
      </c>
      <c r="H869">
        <f t="shared" ca="1" si="162"/>
        <v>505</v>
      </c>
      <c r="I869" t="str">
        <f t="shared" ca="1" si="163"/>
        <v>Contract-Based</v>
      </c>
      <c r="J869" t="str">
        <f t="shared" ca="1" si="164"/>
        <v>Business</v>
      </c>
      <c r="K869" t="str">
        <f t="shared" ca="1" si="165"/>
        <v>Approved</v>
      </c>
      <c r="L869">
        <f t="shared" si="152"/>
        <v>971</v>
      </c>
      <c r="M869">
        <f t="shared" ca="1" si="153"/>
        <v>612</v>
      </c>
      <c r="N869">
        <f t="shared" ca="1" si="154"/>
        <v>292</v>
      </c>
      <c r="O869" s="2">
        <f t="shared" ca="1" si="155"/>
        <v>0.63027806385169927</v>
      </c>
    </row>
    <row r="870" spans="1:15" x14ac:dyDescent="0.3">
      <c r="A870" s="3" t="s">
        <v>1075</v>
      </c>
      <c r="B870" t="str">
        <f t="shared" ca="1" si="156"/>
        <v>Mr. Amit Das</v>
      </c>
      <c r="C870">
        <f t="shared" ca="1" si="157"/>
        <v>65</v>
      </c>
      <c r="D870" t="str">
        <f t="shared" ca="1" si="158"/>
        <v>Female</v>
      </c>
      <c r="E870">
        <f t="shared" ca="1" si="159"/>
        <v>1291245</v>
      </c>
      <c r="F870">
        <f t="shared" ca="1" si="160"/>
        <v>1008149</v>
      </c>
      <c r="G870">
        <f t="shared" ca="1" si="161"/>
        <v>72</v>
      </c>
      <c r="H870">
        <f t="shared" ca="1" si="162"/>
        <v>707</v>
      </c>
      <c r="I870" t="str">
        <f t="shared" ca="1" si="163"/>
        <v>Contract-Based</v>
      </c>
      <c r="J870" t="str">
        <f t="shared" ca="1" si="164"/>
        <v>Personal</v>
      </c>
      <c r="K870" t="str">
        <f t="shared" ca="1" si="165"/>
        <v>Approved</v>
      </c>
      <c r="L870">
        <f t="shared" si="152"/>
        <v>971</v>
      </c>
      <c r="M870">
        <f t="shared" ca="1" si="153"/>
        <v>612</v>
      </c>
      <c r="N870">
        <f t="shared" ca="1" si="154"/>
        <v>292</v>
      </c>
      <c r="O870" s="2">
        <f t="shared" ca="1" si="155"/>
        <v>0.63027806385169927</v>
      </c>
    </row>
    <row r="871" spans="1:15" x14ac:dyDescent="0.3">
      <c r="A871" s="3" t="s">
        <v>1076</v>
      </c>
      <c r="B871" t="str">
        <f t="shared" ca="1" si="156"/>
        <v>Mr. Arun Kumar</v>
      </c>
      <c r="C871">
        <f t="shared" ca="1" si="157"/>
        <v>34</v>
      </c>
      <c r="D871" t="str">
        <f t="shared" ca="1" si="158"/>
        <v>Female</v>
      </c>
      <c r="E871">
        <f t="shared" ca="1" si="159"/>
        <v>1292105</v>
      </c>
      <c r="F871">
        <f t="shared" ca="1" si="160"/>
        <v>2375932</v>
      </c>
      <c r="G871">
        <f t="shared" ca="1" si="161"/>
        <v>12</v>
      </c>
      <c r="H871">
        <f t="shared" ca="1" si="162"/>
        <v>610</v>
      </c>
      <c r="I871" t="str">
        <f t="shared" ca="1" si="163"/>
        <v>Student</v>
      </c>
      <c r="J871" t="str">
        <f t="shared" ca="1" si="164"/>
        <v>Business</v>
      </c>
      <c r="K871" t="str">
        <f t="shared" ca="1" si="165"/>
        <v>Approved</v>
      </c>
      <c r="L871">
        <f t="shared" si="152"/>
        <v>971</v>
      </c>
      <c r="M871">
        <f t="shared" ca="1" si="153"/>
        <v>612</v>
      </c>
      <c r="N871">
        <f t="shared" ca="1" si="154"/>
        <v>292</v>
      </c>
      <c r="O871" s="2">
        <f t="shared" ca="1" si="155"/>
        <v>0.63027806385169927</v>
      </c>
    </row>
    <row r="872" spans="1:15" x14ac:dyDescent="0.3">
      <c r="A872" s="3" t="s">
        <v>1077</v>
      </c>
      <c r="B872" t="str">
        <f t="shared" ca="1" si="156"/>
        <v>Ms. Anjali Singh</v>
      </c>
      <c r="C872">
        <f t="shared" ca="1" si="157"/>
        <v>23</v>
      </c>
      <c r="D872" t="str">
        <f t="shared" ca="1" si="158"/>
        <v>Female</v>
      </c>
      <c r="E872">
        <f t="shared" ca="1" si="159"/>
        <v>1535394</v>
      </c>
      <c r="F872">
        <f t="shared" ca="1" si="160"/>
        <v>1347416</v>
      </c>
      <c r="G872">
        <f t="shared" ca="1" si="161"/>
        <v>84</v>
      </c>
      <c r="H872">
        <f t="shared" ca="1" si="162"/>
        <v>744</v>
      </c>
      <c r="I872" t="str">
        <f t="shared" ca="1" si="163"/>
        <v>Self-Employed</v>
      </c>
      <c r="J872" t="str">
        <f t="shared" ca="1" si="164"/>
        <v>Car</v>
      </c>
      <c r="K872" t="str">
        <f t="shared" ca="1" si="165"/>
        <v>Rejected</v>
      </c>
      <c r="L872">
        <f t="shared" si="152"/>
        <v>971</v>
      </c>
      <c r="M872">
        <f t="shared" ca="1" si="153"/>
        <v>612</v>
      </c>
      <c r="N872">
        <f t="shared" ca="1" si="154"/>
        <v>292</v>
      </c>
      <c r="O872" s="2">
        <f t="shared" ca="1" si="155"/>
        <v>0.63027806385169927</v>
      </c>
    </row>
    <row r="873" spans="1:15" x14ac:dyDescent="0.3">
      <c r="A873" s="3" t="s">
        <v>1078</v>
      </c>
      <c r="B873" t="str">
        <f t="shared" ca="1" si="156"/>
        <v>Ms. Priya Sharma</v>
      </c>
      <c r="C873">
        <f t="shared" ca="1" si="157"/>
        <v>23</v>
      </c>
      <c r="D873" t="str">
        <f t="shared" ca="1" si="158"/>
        <v>Female</v>
      </c>
      <c r="E873">
        <f t="shared" ca="1" si="159"/>
        <v>1035920</v>
      </c>
      <c r="F873">
        <f t="shared" ca="1" si="160"/>
        <v>693782</v>
      </c>
      <c r="G873">
        <f t="shared" ca="1" si="161"/>
        <v>12</v>
      </c>
      <c r="H873">
        <f t="shared" ca="1" si="162"/>
        <v>649</v>
      </c>
      <c r="I873" t="str">
        <f t="shared" ca="1" si="163"/>
        <v>Freelancer</v>
      </c>
      <c r="J873" t="str">
        <f t="shared" ca="1" si="164"/>
        <v>Personal</v>
      </c>
      <c r="K873" t="str">
        <f t="shared" ca="1" si="165"/>
        <v>Approved</v>
      </c>
      <c r="L873">
        <f t="shared" si="152"/>
        <v>971</v>
      </c>
      <c r="M873">
        <f t="shared" ca="1" si="153"/>
        <v>612</v>
      </c>
      <c r="N873">
        <f t="shared" ca="1" si="154"/>
        <v>292</v>
      </c>
      <c r="O873" s="2">
        <f t="shared" ca="1" si="155"/>
        <v>0.63027806385169927</v>
      </c>
    </row>
    <row r="874" spans="1:15" x14ac:dyDescent="0.3">
      <c r="A874" s="3" t="s">
        <v>1079</v>
      </c>
      <c r="B874" t="str">
        <f t="shared" ca="1" si="156"/>
        <v>Mr. Suresh Rao</v>
      </c>
      <c r="C874">
        <f t="shared" ca="1" si="157"/>
        <v>34</v>
      </c>
      <c r="D874" t="str">
        <f t="shared" ca="1" si="158"/>
        <v>Female</v>
      </c>
      <c r="E874">
        <f t="shared" ca="1" si="159"/>
        <v>312564</v>
      </c>
      <c r="F874">
        <f t="shared" ca="1" si="160"/>
        <v>1780801</v>
      </c>
      <c r="G874">
        <f t="shared" ca="1" si="161"/>
        <v>60</v>
      </c>
      <c r="H874">
        <f t="shared" ca="1" si="162"/>
        <v>790</v>
      </c>
      <c r="I874" t="str">
        <f t="shared" ca="1" si="163"/>
        <v>Contract-Based</v>
      </c>
      <c r="J874" t="str">
        <f t="shared" ca="1" si="164"/>
        <v>Business</v>
      </c>
      <c r="K874" t="str">
        <f t="shared" ca="1" si="165"/>
        <v>Approved</v>
      </c>
      <c r="L874">
        <f t="shared" si="152"/>
        <v>971</v>
      </c>
      <c r="M874">
        <f t="shared" ca="1" si="153"/>
        <v>612</v>
      </c>
      <c r="N874">
        <f t="shared" ca="1" si="154"/>
        <v>292</v>
      </c>
      <c r="O874" s="2">
        <f t="shared" ca="1" si="155"/>
        <v>0.63027806385169927</v>
      </c>
    </row>
    <row r="875" spans="1:15" x14ac:dyDescent="0.3">
      <c r="A875" s="3" t="s">
        <v>1080</v>
      </c>
      <c r="B875" t="str">
        <f t="shared" ca="1" si="156"/>
        <v>Ms. Kajal Yadav</v>
      </c>
      <c r="C875">
        <f t="shared" ca="1" si="157"/>
        <v>33</v>
      </c>
      <c r="D875" t="str">
        <f t="shared" ca="1" si="158"/>
        <v>Female</v>
      </c>
      <c r="E875">
        <f t="shared" ca="1" si="159"/>
        <v>655099</v>
      </c>
      <c r="F875">
        <f t="shared" ca="1" si="160"/>
        <v>2389063</v>
      </c>
      <c r="G875">
        <f t="shared" ca="1" si="161"/>
        <v>48</v>
      </c>
      <c r="H875">
        <f t="shared" ca="1" si="162"/>
        <v>653</v>
      </c>
      <c r="I875" t="str">
        <f t="shared" ca="1" si="163"/>
        <v>Contract-Based</v>
      </c>
      <c r="J875" t="str">
        <f t="shared" ca="1" si="164"/>
        <v>Business</v>
      </c>
      <c r="K875" t="str">
        <f t="shared" ca="1" si="165"/>
        <v>Approved</v>
      </c>
      <c r="L875">
        <f t="shared" si="152"/>
        <v>971</v>
      </c>
      <c r="M875">
        <f t="shared" ca="1" si="153"/>
        <v>612</v>
      </c>
      <c r="N875">
        <f t="shared" ca="1" si="154"/>
        <v>292</v>
      </c>
      <c r="O875" s="2">
        <f t="shared" ca="1" si="155"/>
        <v>0.63027806385169927</v>
      </c>
    </row>
    <row r="876" spans="1:15" x14ac:dyDescent="0.3">
      <c r="A876" s="3" t="s">
        <v>1081</v>
      </c>
      <c r="B876" t="str">
        <f t="shared" ca="1" si="156"/>
        <v>Mr. Rohan Gupta</v>
      </c>
      <c r="C876">
        <f t="shared" ca="1" si="157"/>
        <v>48</v>
      </c>
      <c r="D876" t="str">
        <f t="shared" ca="1" si="158"/>
        <v>Male</v>
      </c>
      <c r="E876">
        <f t="shared" ca="1" si="159"/>
        <v>1220469</v>
      </c>
      <c r="F876">
        <f t="shared" ca="1" si="160"/>
        <v>241199</v>
      </c>
      <c r="G876">
        <f t="shared" ca="1" si="161"/>
        <v>24</v>
      </c>
      <c r="H876">
        <f t="shared" ca="1" si="162"/>
        <v>781</v>
      </c>
      <c r="I876" t="str">
        <f t="shared" ca="1" si="163"/>
        <v>Contract-Based</v>
      </c>
      <c r="J876" t="str">
        <f t="shared" ca="1" si="164"/>
        <v>Personal</v>
      </c>
      <c r="K876" t="str">
        <f t="shared" ca="1" si="165"/>
        <v>Rejected</v>
      </c>
      <c r="L876">
        <f t="shared" si="152"/>
        <v>971</v>
      </c>
      <c r="M876">
        <f t="shared" ca="1" si="153"/>
        <v>612</v>
      </c>
      <c r="N876">
        <f t="shared" ca="1" si="154"/>
        <v>292</v>
      </c>
      <c r="O876" s="2">
        <f t="shared" ca="1" si="155"/>
        <v>0.63027806385169927</v>
      </c>
    </row>
    <row r="877" spans="1:15" x14ac:dyDescent="0.3">
      <c r="A877" s="3" t="s">
        <v>1082</v>
      </c>
      <c r="B877" t="str">
        <f t="shared" ca="1" si="156"/>
        <v>Mr. Raj Kumar</v>
      </c>
      <c r="C877">
        <f t="shared" ca="1" si="157"/>
        <v>61</v>
      </c>
      <c r="D877" t="str">
        <f t="shared" ca="1" si="158"/>
        <v>Male</v>
      </c>
      <c r="E877">
        <f t="shared" ca="1" si="159"/>
        <v>485067</v>
      </c>
      <c r="F877">
        <f t="shared" ca="1" si="160"/>
        <v>482959</v>
      </c>
      <c r="G877">
        <f t="shared" ca="1" si="161"/>
        <v>24</v>
      </c>
      <c r="H877">
        <f t="shared" ca="1" si="162"/>
        <v>776</v>
      </c>
      <c r="I877" t="str">
        <f t="shared" ca="1" si="163"/>
        <v>Freelancer</v>
      </c>
      <c r="J877" t="str">
        <f t="shared" ca="1" si="164"/>
        <v>Education</v>
      </c>
      <c r="K877" t="str">
        <f t="shared" ca="1" si="165"/>
        <v>Rejected</v>
      </c>
      <c r="L877">
        <f t="shared" si="152"/>
        <v>971</v>
      </c>
      <c r="M877">
        <f t="shared" ca="1" si="153"/>
        <v>612</v>
      </c>
      <c r="N877">
        <f t="shared" ca="1" si="154"/>
        <v>292</v>
      </c>
      <c r="O877" s="2">
        <f t="shared" ca="1" si="155"/>
        <v>0.63027806385169927</v>
      </c>
    </row>
    <row r="878" spans="1:15" x14ac:dyDescent="0.3">
      <c r="A878" s="3" t="s">
        <v>1083</v>
      </c>
      <c r="B878" t="str">
        <f t="shared" ca="1" si="156"/>
        <v>Mr. Suresh Rao</v>
      </c>
      <c r="C878">
        <f t="shared" ca="1" si="157"/>
        <v>56</v>
      </c>
      <c r="D878" t="str">
        <f t="shared" ca="1" si="158"/>
        <v>Female</v>
      </c>
      <c r="E878">
        <f t="shared" ca="1" si="159"/>
        <v>543029</v>
      </c>
      <c r="F878">
        <f t="shared" ca="1" si="160"/>
        <v>521575</v>
      </c>
      <c r="G878">
        <f t="shared" ca="1" si="161"/>
        <v>48</v>
      </c>
      <c r="H878">
        <f t="shared" ca="1" si="162"/>
        <v>356</v>
      </c>
      <c r="I878" t="str">
        <f t="shared" ca="1" si="163"/>
        <v>Salaried</v>
      </c>
      <c r="J878" t="str">
        <f t="shared" ca="1" si="164"/>
        <v>Personal</v>
      </c>
      <c r="K878" t="str">
        <f t="shared" ca="1" si="165"/>
        <v>Approved</v>
      </c>
      <c r="L878">
        <f t="shared" si="152"/>
        <v>971</v>
      </c>
      <c r="M878">
        <f t="shared" ca="1" si="153"/>
        <v>612</v>
      </c>
      <c r="N878">
        <f t="shared" ca="1" si="154"/>
        <v>292</v>
      </c>
      <c r="O878" s="2">
        <f t="shared" ca="1" si="155"/>
        <v>0.63027806385169927</v>
      </c>
    </row>
    <row r="879" spans="1:15" x14ac:dyDescent="0.3">
      <c r="A879" s="3" t="s">
        <v>1084</v>
      </c>
      <c r="B879" t="str">
        <f t="shared" ca="1" si="156"/>
        <v>Ms. Priya Sharma</v>
      </c>
      <c r="C879">
        <f t="shared" ca="1" si="157"/>
        <v>26</v>
      </c>
      <c r="D879" t="str">
        <f t="shared" ca="1" si="158"/>
        <v>Female</v>
      </c>
      <c r="E879">
        <f t="shared" ca="1" si="159"/>
        <v>390718</v>
      </c>
      <c r="F879">
        <f t="shared" ca="1" si="160"/>
        <v>2489045</v>
      </c>
      <c r="G879">
        <f t="shared" ca="1" si="161"/>
        <v>48</v>
      </c>
      <c r="H879">
        <f t="shared" ca="1" si="162"/>
        <v>520</v>
      </c>
      <c r="I879" t="str">
        <f t="shared" ca="1" si="163"/>
        <v>Salaried</v>
      </c>
      <c r="J879" t="str">
        <f t="shared" ca="1" si="164"/>
        <v>Education</v>
      </c>
      <c r="K879" t="str">
        <f t="shared" ca="1" si="165"/>
        <v>Approved</v>
      </c>
      <c r="L879">
        <f t="shared" si="152"/>
        <v>971</v>
      </c>
      <c r="M879">
        <f t="shared" ca="1" si="153"/>
        <v>612</v>
      </c>
      <c r="N879">
        <f t="shared" ca="1" si="154"/>
        <v>292</v>
      </c>
      <c r="O879" s="2">
        <f t="shared" ca="1" si="155"/>
        <v>0.63027806385169927</v>
      </c>
    </row>
    <row r="880" spans="1:15" x14ac:dyDescent="0.3">
      <c r="A880" s="3" t="s">
        <v>1085</v>
      </c>
      <c r="B880" t="str">
        <f t="shared" ca="1" si="156"/>
        <v>Mr. Raj Kumar</v>
      </c>
      <c r="C880">
        <f t="shared" ca="1" si="157"/>
        <v>46</v>
      </c>
      <c r="D880" t="str">
        <f t="shared" ca="1" si="158"/>
        <v>Female</v>
      </c>
      <c r="E880">
        <f t="shared" ca="1" si="159"/>
        <v>230370</v>
      </c>
      <c r="F880">
        <f t="shared" ca="1" si="160"/>
        <v>115804</v>
      </c>
      <c r="G880">
        <f t="shared" ca="1" si="161"/>
        <v>48</v>
      </c>
      <c r="H880">
        <f t="shared" ca="1" si="162"/>
        <v>702</v>
      </c>
      <c r="I880" t="str">
        <f t="shared" ca="1" si="163"/>
        <v>Contract-Based</v>
      </c>
      <c r="J880" t="str">
        <f t="shared" ca="1" si="164"/>
        <v>Car</v>
      </c>
      <c r="K880" t="str">
        <f t="shared" ca="1" si="165"/>
        <v>Rejected</v>
      </c>
      <c r="L880">
        <f t="shared" si="152"/>
        <v>971</v>
      </c>
      <c r="M880">
        <f t="shared" ca="1" si="153"/>
        <v>612</v>
      </c>
      <c r="N880">
        <f t="shared" ca="1" si="154"/>
        <v>292</v>
      </c>
      <c r="O880" s="2">
        <f t="shared" ca="1" si="155"/>
        <v>0.63027806385169927</v>
      </c>
    </row>
    <row r="881" spans="1:15" x14ac:dyDescent="0.3">
      <c r="A881" s="3" t="s">
        <v>1086</v>
      </c>
      <c r="B881" t="str">
        <f t="shared" ca="1" si="156"/>
        <v>Ms. Pooja Patel</v>
      </c>
      <c r="C881">
        <f t="shared" ca="1" si="157"/>
        <v>65</v>
      </c>
      <c r="D881" t="str">
        <f t="shared" ca="1" si="158"/>
        <v>Male</v>
      </c>
      <c r="E881">
        <f t="shared" ca="1" si="159"/>
        <v>1204493</v>
      </c>
      <c r="F881">
        <f t="shared" ca="1" si="160"/>
        <v>526379</v>
      </c>
      <c r="G881">
        <f t="shared" ca="1" si="161"/>
        <v>60</v>
      </c>
      <c r="H881">
        <f t="shared" ca="1" si="162"/>
        <v>450</v>
      </c>
      <c r="I881" t="str">
        <f t="shared" ca="1" si="163"/>
        <v>Contract-Based</v>
      </c>
      <c r="J881" t="str">
        <f t="shared" ca="1" si="164"/>
        <v>Personal</v>
      </c>
      <c r="K881" t="str">
        <f t="shared" ca="1" si="165"/>
        <v>Approved</v>
      </c>
      <c r="L881">
        <f t="shared" si="152"/>
        <v>971</v>
      </c>
      <c r="M881">
        <f t="shared" ca="1" si="153"/>
        <v>612</v>
      </c>
      <c r="N881">
        <f t="shared" ca="1" si="154"/>
        <v>292</v>
      </c>
      <c r="O881" s="2">
        <f t="shared" ca="1" si="155"/>
        <v>0.63027806385169927</v>
      </c>
    </row>
    <row r="882" spans="1:15" x14ac:dyDescent="0.3">
      <c r="A882" s="3" t="s">
        <v>1087</v>
      </c>
      <c r="B882" t="str">
        <f t="shared" ca="1" si="156"/>
        <v>Mr. Rohan Gupta</v>
      </c>
      <c r="C882">
        <f t="shared" ca="1" si="157"/>
        <v>63</v>
      </c>
      <c r="D882" t="str">
        <f t="shared" ca="1" si="158"/>
        <v>Male</v>
      </c>
      <c r="E882">
        <f t="shared" ca="1" si="159"/>
        <v>1180982</v>
      </c>
      <c r="F882">
        <f t="shared" ca="1" si="160"/>
        <v>2147456</v>
      </c>
      <c r="G882">
        <f t="shared" ca="1" si="161"/>
        <v>12</v>
      </c>
      <c r="H882">
        <f t="shared" ca="1" si="162"/>
        <v>384</v>
      </c>
      <c r="I882" t="str">
        <f t="shared" ca="1" si="163"/>
        <v>Freelancer</v>
      </c>
      <c r="J882" t="str">
        <f t="shared" ca="1" si="164"/>
        <v>Education</v>
      </c>
      <c r="K882" t="str">
        <f t="shared" ca="1" si="165"/>
        <v>Rejected</v>
      </c>
      <c r="L882">
        <f t="shared" si="152"/>
        <v>971</v>
      </c>
      <c r="M882">
        <f t="shared" ca="1" si="153"/>
        <v>612</v>
      </c>
      <c r="N882">
        <f t="shared" ca="1" si="154"/>
        <v>292</v>
      </c>
      <c r="O882" s="2">
        <f t="shared" ca="1" si="155"/>
        <v>0.63027806385169927</v>
      </c>
    </row>
    <row r="883" spans="1:15" x14ac:dyDescent="0.3">
      <c r="A883" s="3" t="s">
        <v>1088</v>
      </c>
      <c r="B883" t="str">
        <f t="shared" ca="1" si="156"/>
        <v>Ms. Kajal Yadav</v>
      </c>
      <c r="C883">
        <f t="shared" ca="1" si="157"/>
        <v>48</v>
      </c>
      <c r="D883" t="str">
        <f t="shared" ca="1" si="158"/>
        <v>Male</v>
      </c>
      <c r="E883">
        <f t="shared" ca="1" si="159"/>
        <v>810355</v>
      </c>
      <c r="F883">
        <f t="shared" ca="1" si="160"/>
        <v>184900</v>
      </c>
      <c r="G883">
        <f t="shared" ca="1" si="161"/>
        <v>24</v>
      </c>
      <c r="H883">
        <f t="shared" ca="1" si="162"/>
        <v>428</v>
      </c>
      <c r="I883" t="str">
        <f t="shared" ca="1" si="163"/>
        <v>Business</v>
      </c>
      <c r="J883" t="str">
        <f t="shared" ca="1" si="164"/>
        <v>Education</v>
      </c>
      <c r="K883" t="str">
        <f t="shared" ca="1" si="165"/>
        <v>Approved</v>
      </c>
      <c r="L883">
        <f t="shared" si="152"/>
        <v>971</v>
      </c>
      <c r="M883">
        <f t="shared" ca="1" si="153"/>
        <v>612</v>
      </c>
      <c r="N883">
        <f t="shared" ca="1" si="154"/>
        <v>292</v>
      </c>
      <c r="O883" s="2">
        <f t="shared" ca="1" si="155"/>
        <v>0.63027806385169927</v>
      </c>
    </row>
    <row r="884" spans="1:15" x14ac:dyDescent="0.3">
      <c r="A884" s="3" t="s">
        <v>1089</v>
      </c>
      <c r="B884" t="str">
        <f t="shared" ca="1" si="156"/>
        <v>Ms. Priya Sharma</v>
      </c>
      <c r="C884">
        <f t="shared" ca="1" si="157"/>
        <v>60</v>
      </c>
      <c r="D884" t="str">
        <f t="shared" ca="1" si="158"/>
        <v>Male</v>
      </c>
      <c r="E884">
        <f t="shared" ca="1" si="159"/>
        <v>1467467</v>
      </c>
      <c r="F884">
        <f t="shared" ca="1" si="160"/>
        <v>837038</v>
      </c>
      <c r="G884">
        <f t="shared" ca="1" si="161"/>
        <v>36</v>
      </c>
      <c r="H884">
        <f t="shared" ca="1" si="162"/>
        <v>899</v>
      </c>
      <c r="I884" t="str">
        <f t="shared" ca="1" si="163"/>
        <v>Freelancer</v>
      </c>
      <c r="J884" t="str">
        <f t="shared" ca="1" si="164"/>
        <v>Education</v>
      </c>
      <c r="K884" t="str">
        <f t="shared" ca="1" si="165"/>
        <v>Approved</v>
      </c>
      <c r="L884">
        <f t="shared" si="152"/>
        <v>971</v>
      </c>
      <c r="M884">
        <f t="shared" ca="1" si="153"/>
        <v>612</v>
      </c>
      <c r="N884">
        <f t="shared" ca="1" si="154"/>
        <v>292</v>
      </c>
      <c r="O884" s="2">
        <f t="shared" ca="1" si="155"/>
        <v>0.63027806385169927</v>
      </c>
    </row>
    <row r="885" spans="1:15" x14ac:dyDescent="0.3">
      <c r="A885" s="3" t="s">
        <v>1090</v>
      </c>
      <c r="B885" t="str">
        <f t="shared" ca="1" si="156"/>
        <v>Ms. Neha Verma</v>
      </c>
      <c r="C885">
        <f t="shared" ca="1" si="157"/>
        <v>33</v>
      </c>
      <c r="D885" t="str">
        <f t="shared" ca="1" si="158"/>
        <v>Female</v>
      </c>
      <c r="E885">
        <f t="shared" ca="1" si="159"/>
        <v>558108</v>
      </c>
      <c r="F885">
        <f t="shared" ca="1" si="160"/>
        <v>2374404</v>
      </c>
      <c r="G885">
        <f t="shared" ca="1" si="161"/>
        <v>36</v>
      </c>
      <c r="H885">
        <f t="shared" ca="1" si="162"/>
        <v>499</v>
      </c>
      <c r="I885" t="str">
        <f t="shared" ca="1" si="163"/>
        <v>Business</v>
      </c>
      <c r="J885" t="str">
        <f t="shared" ca="1" si="164"/>
        <v>Education</v>
      </c>
      <c r="K885" t="str">
        <f t="shared" ca="1" si="165"/>
        <v>Rejected</v>
      </c>
      <c r="L885">
        <f t="shared" si="152"/>
        <v>971</v>
      </c>
      <c r="M885">
        <f t="shared" ca="1" si="153"/>
        <v>612</v>
      </c>
      <c r="N885">
        <f t="shared" ca="1" si="154"/>
        <v>292</v>
      </c>
      <c r="O885" s="2">
        <f t="shared" ca="1" si="155"/>
        <v>0.63027806385169927</v>
      </c>
    </row>
    <row r="886" spans="1:15" x14ac:dyDescent="0.3">
      <c r="A886" s="3" t="s">
        <v>1091</v>
      </c>
      <c r="B886" t="str">
        <f t="shared" ca="1" si="156"/>
        <v>Mr. Rohan Gupta</v>
      </c>
      <c r="C886">
        <f t="shared" ca="1" si="157"/>
        <v>31</v>
      </c>
      <c r="D886" t="str">
        <f t="shared" ca="1" si="158"/>
        <v>Male</v>
      </c>
      <c r="E886">
        <f t="shared" ca="1" si="159"/>
        <v>1476609</v>
      </c>
      <c r="F886">
        <f t="shared" ca="1" si="160"/>
        <v>1132322</v>
      </c>
      <c r="G886">
        <f t="shared" ca="1" si="161"/>
        <v>24</v>
      </c>
      <c r="H886">
        <f t="shared" ca="1" si="162"/>
        <v>564</v>
      </c>
      <c r="I886" t="str">
        <f t="shared" ca="1" si="163"/>
        <v>Student</v>
      </c>
      <c r="J886" t="str">
        <f t="shared" ca="1" si="164"/>
        <v>Business</v>
      </c>
      <c r="K886" t="str">
        <f t="shared" ca="1" si="165"/>
        <v>Approved</v>
      </c>
      <c r="L886">
        <f t="shared" si="152"/>
        <v>971</v>
      </c>
      <c r="M886">
        <f t="shared" ca="1" si="153"/>
        <v>612</v>
      </c>
      <c r="N886">
        <f t="shared" ca="1" si="154"/>
        <v>292</v>
      </c>
      <c r="O886" s="2">
        <f t="shared" ca="1" si="155"/>
        <v>0.63027806385169927</v>
      </c>
    </row>
    <row r="887" spans="1:15" x14ac:dyDescent="0.3">
      <c r="A887" s="3" t="s">
        <v>1092</v>
      </c>
      <c r="B887" t="str">
        <f t="shared" ca="1" si="156"/>
        <v>Ms. Pooja Patel</v>
      </c>
      <c r="C887">
        <f t="shared" ca="1" si="157"/>
        <v>51</v>
      </c>
      <c r="D887" t="str">
        <f t="shared" ca="1" si="158"/>
        <v>Female</v>
      </c>
      <c r="E887">
        <f t="shared" ca="1" si="159"/>
        <v>917145</v>
      </c>
      <c r="F887">
        <f t="shared" ca="1" si="160"/>
        <v>826223</v>
      </c>
      <c r="G887">
        <f t="shared" ca="1" si="161"/>
        <v>24</v>
      </c>
      <c r="H887">
        <f t="shared" ca="1" si="162"/>
        <v>339</v>
      </c>
      <c r="I887" t="str">
        <f t="shared" ca="1" si="163"/>
        <v>Salaried</v>
      </c>
      <c r="J887" t="str">
        <f t="shared" ca="1" si="164"/>
        <v>Home</v>
      </c>
      <c r="K887" t="str">
        <f t="shared" ca="1" si="165"/>
        <v>Rejected</v>
      </c>
      <c r="L887">
        <f t="shared" si="152"/>
        <v>971</v>
      </c>
      <c r="M887">
        <f t="shared" ca="1" si="153"/>
        <v>612</v>
      </c>
      <c r="N887">
        <f t="shared" ca="1" si="154"/>
        <v>292</v>
      </c>
      <c r="O887" s="2">
        <f t="shared" ca="1" si="155"/>
        <v>0.63027806385169927</v>
      </c>
    </row>
    <row r="888" spans="1:15" x14ac:dyDescent="0.3">
      <c r="A888" s="3" t="s">
        <v>1093</v>
      </c>
      <c r="B888" t="str">
        <f t="shared" ca="1" si="156"/>
        <v>Mr. Suresh Rao</v>
      </c>
      <c r="C888">
        <f t="shared" ca="1" si="157"/>
        <v>57</v>
      </c>
      <c r="D888" t="str">
        <f t="shared" ca="1" si="158"/>
        <v>Male</v>
      </c>
      <c r="E888">
        <f t="shared" ca="1" si="159"/>
        <v>1135607</v>
      </c>
      <c r="F888">
        <f t="shared" ca="1" si="160"/>
        <v>427080</v>
      </c>
      <c r="G888">
        <f t="shared" ca="1" si="161"/>
        <v>84</v>
      </c>
      <c r="H888">
        <f t="shared" ca="1" si="162"/>
        <v>501</v>
      </c>
      <c r="I888" t="str">
        <f t="shared" ca="1" si="163"/>
        <v>Student</v>
      </c>
      <c r="J888" t="str">
        <f t="shared" ca="1" si="164"/>
        <v>Education</v>
      </c>
      <c r="K888" t="str">
        <f t="shared" ca="1" si="165"/>
        <v>Approved</v>
      </c>
      <c r="L888">
        <f t="shared" si="152"/>
        <v>971</v>
      </c>
      <c r="M888">
        <f t="shared" ca="1" si="153"/>
        <v>612</v>
      </c>
      <c r="N888">
        <f t="shared" ca="1" si="154"/>
        <v>292</v>
      </c>
      <c r="O888" s="2">
        <f t="shared" ca="1" si="155"/>
        <v>0.63027806385169927</v>
      </c>
    </row>
    <row r="889" spans="1:15" x14ac:dyDescent="0.3">
      <c r="A889" s="3" t="s">
        <v>1094</v>
      </c>
      <c r="B889" t="str">
        <f t="shared" ca="1" si="156"/>
        <v>Ms. Kajal Yadav</v>
      </c>
      <c r="C889">
        <f t="shared" ca="1" si="157"/>
        <v>21</v>
      </c>
      <c r="D889" t="str">
        <f t="shared" ca="1" si="158"/>
        <v>Male</v>
      </c>
      <c r="E889">
        <f t="shared" ca="1" si="159"/>
        <v>1075778</v>
      </c>
      <c r="F889">
        <f t="shared" ca="1" si="160"/>
        <v>1954881</v>
      </c>
      <c r="G889">
        <f t="shared" ca="1" si="161"/>
        <v>84</v>
      </c>
      <c r="H889">
        <f t="shared" ca="1" si="162"/>
        <v>655</v>
      </c>
      <c r="I889" t="str">
        <f t="shared" ca="1" si="163"/>
        <v>Contract-Based</v>
      </c>
      <c r="J889" t="str">
        <f t="shared" ca="1" si="164"/>
        <v>Business</v>
      </c>
      <c r="K889" t="str">
        <f t="shared" ca="1" si="165"/>
        <v>Approved</v>
      </c>
      <c r="L889">
        <f t="shared" si="152"/>
        <v>971</v>
      </c>
      <c r="M889">
        <f t="shared" ca="1" si="153"/>
        <v>612</v>
      </c>
      <c r="N889">
        <f t="shared" ca="1" si="154"/>
        <v>292</v>
      </c>
      <c r="O889" s="2">
        <f t="shared" ca="1" si="155"/>
        <v>0.63027806385169927</v>
      </c>
    </row>
    <row r="890" spans="1:15" x14ac:dyDescent="0.3">
      <c r="A890" s="3" t="s">
        <v>1095</v>
      </c>
      <c r="B890" t="str">
        <f t="shared" ca="1" si="156"/>
        <v>Ms. Anjali Singh</v>
      </c>
      <c r="C890">
        <f t="shared" ca="1" si="157"/>
        <v>38</v>
      </c>
      <c r="D890" t="str">
        <f t="shared" ca="1" si="158"/>
        <v>Male</v>
      </c>
      <c r="E890">
        <f t="shared" ca="1" si="159"/>
        <v>953660</v>
      </c>
      <c r="F890">
        <f t="shared" ca="1" si="160"/>
        <v>983321</v>
      </c>
      <c r="G890">
        <f t="shared" ca="1" si="161"/>
        <v>72</v>
      </c>
      <c r="H890">
        <f t="shared" ca="1" si="162"/>
        <v>544</v>
      </c>
      <c r="I890" t="str">
        <f t="shared" ca="1" si="163"/>
        <v>Contract-Based</v>
      </c>
      <c r="J890" t="str">
        <f t="shared" ca="1" si="164"/>
        <v>Personal</v>
      </c>
      <c r="K890" t="str">
        <f t="shared" ca="1" si="165"/>
        <v>Rejected</v>
      </c>
      <c r="L890">
        <f t="shared" si="152"/>
        <v>971</v>
      </c>
      <c r="M890">
        <f t="shared" ca="1" si="153"/>
        <v>612</v>
      </c>
      <c r="N890">
        <f t="shared" ca="1" si="154"/>
        <v>292</v>
      </c>
      <c r="O890" s="2">
        <f t="shared" ca="1" si="155"/>
        <v>0.63027806385169927</v>
      </c>
    </row>
    <row r="891" spans="1:15" x14ac:dyDescent="0.3">
      <c r="A891" s="3" t="s">
        <v>1096</v>
      </c>
      <c r="B891" t="str">
        <f t="shared" ca="1" si="156"/>
        <v>Ms. Neha Verma</v>
      </c>
      <c r="C891">
        <f t="shared" ca="1" si="157"/>
        <v>53</v>
      </c>
      <c r="D891" t="str">
        <f t="shared" ca="1" si="158"/>
        <v>Male</v>
      </c>
      <c r="E891">
        <f t="shared" ca="1" si="159"/>
        <v>1757947</v>
      </c>
      <c r="F891">
        <f t="shared" ca="1" si="160"/>
        <v>2134510</v>
      </c>
      <c r="G891">
        <f t="shared" ca="1" si="161"/>
        <v>84</v>
      </c>
      <c r="H891">
        <f t="shared" ca="1" si="162"/>
        <v>526</v>
      </c>
      <c r="I891" t="str">
        <f t="shared" ca="1" si="163"/>
        <v>Contract-Based</v>
      </c>
      <c r="J891" t="str">
        <f t="shared" ca="1" si="164"/>
        <v>Education</v>
      </c>
      <c r="K891" t="str">
        <f t="shared" ca="1" si="165"/>
        <v>Rejected</v>
      </c>
      <c r="L891">
        <f t="shared" si="152"/>
        <v>971</v>
      </c>
      <c r="M891">
        <f t="shared" ca="1" si="153"/>
        <v>612</v>
      </c>
      <c r="N891">
        <f t="shared" ca="1" si="154"/>
        <v>292</v>
      </c>
      <c r="O891" s="2">
        <f t="shared" ca="1" si="155"/>
        <v>0.63027806385169927</v>
      </c>
    </row>
    <row r="892" spans="1:15" x14ac:dyDescent="0.3">
      <c r="A892" s="3" t="s">
        <v>1097</v>
      </c>
      <c r="B892" t="str">
        <f t="shared" ca="1" si="156"/>
        <v>Ms. Anjali Singh</v>
      </c>
      <c r="C892">
        <f t="shared" ca="1" si="157"/>
        <v>64</v>
      </c>
      <c r="D892" t="str">
        <f t="shared" ca="1" si="158"/>
        <v>Female</v>
      </c>
      <c r="E892">
        <f t="shared" ca="1" si="159"/>
        <v>1000335</v>
      </c>
      <c r="F892">
        <f t="shared" ca="1" si="160"/>
        <v>1361362</v>
      </c>
      <c r="G892">
        <f t="shared" ca="1" si="161"/>
        <v>60</v>
      </c>
      <c r="H892">
        <f t="shared" ca="1" si="162"/>
        <v>483</v>
      </c>
      <c r="I892" t="str">
        <f t="shared" ca="1" si="163"/>
        <v>Contract-Based</v>
      </c>
      <c r="J892" t="str">
        <f t="shared" ca="1" si="164"/>
        <v>Personal</v>
      </c>
      <c r="K892" t="str">
        <f t="shared" ca="1" si="165"/>
        <v>Approved</v>
      </c>
      <c r="L892">
        <f t="shared" si="152"/>
        <v>971</v>
      </c>
      <c r="M892">
        <f t="shared" ca="1" si="153"/>
        <v>612</v>
      </c>
      <c r="N892">
        <f t="shared" ca="1" si="154"/>
        <v>292</v>
      </c>
      <c r="O892" s="2">
        <f t="shared" ca="1" si="155"/>
        <v>0.63027806385169927</v>
      </c>
    </row>
    <row r="893" spans="1:15" x14ac:dyDescent="0.3">
      <c r="A893" s="3" t="s">
        <v>1098</v>
      </c>
      <c r="B893" t="str">
        <f t="shared" ca="1" si="156"/>
        <v>Mr. Suresh Rao</v>
      </c>
      <c r="C893">
        <f t="shared" ca="1" si="157"/>
        <v>36</v>
      </c>
      <c r="D893" t="str">
        <f t="shared" ca="1" si="158"/>
        <v>Female</v>
      </c>
      <c r="E893">
        <f t="shared" ca="1" si="159"/>
        <v>1536616</v>
      </c>
      <c r="F893">
        <f t="shared" ca="1" si="160"/>
        <v>1996195</v>
      </c>
      <c r="G893">
        <f t="shared" ca="1" si="161"/>
        <v>12</v>
      </c>
      <c r="H893">
        <f t="shared" ca="1" si="162"/>
        <v>786</v>
      </c>
      <c r="I893" t="str">
        <f t="shared" ca="1" si="163"/>
        <v>Student</v>
      </c>
      <c r="J893" t="str">
        <f t="shared" ca="1" si="164"/>
        <v>Personal</v>
      </c>
      <c r="K893" t="str">
        <f t="shared" ca="1" si="165"/>
        <v>Approved</v>
      </c>
      <c r="L893">
        <f t="shared" si="152"/>
        <v>971</v>
      </c>
      <c r="M893">
        <f t="shared" ca="1" si="153"/>
        <v>612</v>
      </c>
      <c r="N893">
        <f t="shared" ca="1" si="154"/>
        <v>292</v>
      </c>
      <c r="O893" s="2">
        <f t="shared" ca="1" si="155"/>
        <v>0.63027806385169927</v>
      </c>
    </row>
    <row r="894" spans="1:15" x14ac:dyDescent="0.3">
      <c r="A894" s="3" t="s">
        <v>1099</v>
      </c>
      <c r="B894" t="str">
        <f t="shared" ca="1" si="156"/>
        <v>Ms. Anjali Singh</v>
      </c>
      <c r="C894">
        <f t="shared" ca="1" si="157"/>
        <v>27</v>
      </c>
      <c r="D894" t="str">
        <f t="shared" ca="1" si="158"/>
        <v>Male</v>
      </c>
      <c r="E894">
        <f t="shared" ca="1" si="159"/>
        <v>475801</v>
      </c>
      <c r="F894">
        <f t="shared" ca="1" si="160"/>
        <v>1549689</v>
      </c>
      <c r="G894">
        <f t="shared" ca="1" si="161"/>
        <v>48</v>
      </c>
      <c r="H894">
        <f t="shared" ca="1" si="162"/>
        <v>544</v>
      </c>
      <c r="I894" t="str">
        <f t="shared" ca="1" si="163"/>
        <v>Salaried</v>
      </c>
      <c r="J894" t="str">
        <f t="shared" ca="1" si="164"/>
        <v>Home</v>
      </c>
      <c r="K894" t="str">
        <f t="shared" ca="1" si="165"/>
        <v>Rejected</v>
      </c>
      <c r="L894">
        <f t="shared" si="152"/>
        <v>971</v>
      </c>
      <c r="M894">
        <f t="shared" ca="1" si="153"/>
        <v>612</v>
      </c>
      <c r="N894">
        <f t="shared" ca="1" si="154"/>
        <v>292</v>
      </c>
      <c r="O894" s="2">
        <f t="shared" ca="1" si="155"/>
        <v>0.63027806385169927</v>
      </c>
    </row>
    <row r="895" spans="1:15" x14ac:dyDescent="0.3">
      <c r="A895" s="3" t="s">
        <v>1100</v>
      </c>
      <c r="B895" t="str">
        <f t="shared" ca="1" si="156"/>
        <v>Mr. Arun Kumar</v>
      </c>
      <c r="C895">
        <f t="shared" ca="1" si="157"/>
        <v>59</v>
      </c>
      <c r="D895" t="str">
        <f t="shared" ca="1" si="158"/>
        <v>Female</v>
      </c>
      <c r="E895">
        <f t="shared" ca="1" si="159"/>
        <v>1616514</v>
      </c>
      <c r="F895">
        <f t="shared" ca="1" si="160"/>
        <v>1917221</v>
      </c>
      <c r="G895">
        <f t="shared" ca="1" si="161"/>
        <v>60</v>
      </c>
      <c r="H895">
        <f t="shared" ca="1" si="162"/>
        <v>883</v>
      </c>
      <c r="I895" t="str">
        <f t="shared" ca="1" si="163"/>
        <v>Salaried</v>
      </c>
      <c r="J895" t="str">
        <f t="shared" ca="1" si="164"/>
        <v>Education</v>
      </c>
      <c r="K895" t="str">
        <f t="shared" ca="1" si="165"/>
        <v>Approved</v>
      </c>
      <c r="L895">
        <f t="shared" si="152"/>
        <v>971</v>
      </c>
      <c r="M895">
        <f t="shared" ca="1" si="153"/>
        <v>612</v>
      </c>
      <c r="N895">
        <f t="shared" ca="1" si="154"/>
        <v>292</v>
      </c>
      <c r="O895" s="2">
        <f t="shared" ca="1" si="155"/>
        <v>0.63027806385169927</v>
      </c>
    </row>
    <row r="896" spans="1:15" x14ac:dyDescent="0.3">
      <c r="A896" s="3" t="s">
        <v>1101</v>
      </c>
      <c r="B896" t="str">
        <f t="shared" ca="1" si="156"/>
        <v>Mr. Arun Kumar</v>
      </c>
      <c r="C896">
        <f t="shared" ca="1" si="157"/>
        <v>42</v>
      </c>
      <c r="D896" t="str">
        <f t="shared" ca="1" si="158"/>
        <v>Female</v>
      </c>
      <c r="E896">
        <f t="shared" ca="1" si="159"/>
        <v>391126</v>
      </c>
      <c r="F896">
        <f t="shared" ca="1" si="160"/>
        <v>1229489</v>
      </c>
      <c r="G896">
        <f t="shared" ca="1" si="161"/>
        <v>12</v>
      </c>
      <c r="H896">
        <f t="shared" ca="1" si="162"/>
        <v>542</v>
      </c>
      <c r="I896" t="str">
        <f t="shared" ca="1" si="163"/>
        <v>Student</v>
      </c>
      <c r="J896" t="str">
        <f t="shared" ca="1" si="164"/>
        <v>Personal</v>
      </c>
      <c r="K896" t="str">
        <f t="shared" ca="1" si="165"/>
        <v>Approved</v>
      </c>
      <c r="L896">
        <f t="shared" si="152"/>
        <v>971</v>
      </c>
      <c r="M896">
        <f t="shared" ca="1" si="153"/>
        <v>612</v>
      </c>
      <c r="N896">
        <f t="shared" ca="1" si="154"/>
        <v>292</v>
      </c>
      <c r="O896" s="2">
        <f t="shared" ca="1" si="155"/>
        <v>0.63027806385169927</v>
      </c>
    </row>
    <row r="897" spans="1:15" x14ac:dyDescent="0.3">
      <c r="A897" s="3" t="s">
        <v>1102</v>
      </c>
      <c r="B897" t="str">
        <f t="shared" ca="1" si="156"/>
        <v>Ms. Priya Sharma</v>
      </c>
      <c r="C897">
        <f t="shared" ca="1" si="157"/>
        <v>47</v>
      </c>
      <c r="D897" t="str">
        <f t="shared" ca="1" si="158"/>
        <v>Male</v>
      </c>
      <c r="E897">
        <f t="shared" ca="1" si="159"/>
        <v>1617513</v>
      </c>
      <c r="F897">
        <f t="shared" ca="1" si="160"/>
        <v>1250494</v>
      </c>
      <c r="G897">
        <f t="shared" ca="1" si="161"/>
        <v>48</v>
      </c>
      <c r="H897">
        <f t="shared" ca="1" si="162"/>
        <v>648</v>
      </c>
      <c r="I897" t="str">
        <f t="shared" ca="1" si="163"/>
        <v>Contract-Based</v>
      </c>
      <c r="J897" t="str">
        <f t="shared" ca="1" si="164"/>
        <v>Education</v>
      </c>
      <c r="K897" t="str">
        <f t="shared" ca="1" si="165"/>
        <v>Rejected</v>
      </c>
      <c r="L897">
        <f t="shared" si="152"/>
        <v>971</v>
      </c>
      <c r="M897">
        <f t="shared" ca="1" si="153"/>
        <v>612</v>
      </c>
      <c r="N897">
        <f t="shared" ca="1" si="154"/>
        <v>292</v>
      </c>
      <c r="O897" s="2">
        <f t="shared" ca="1" si="155"/>
        <v>0.63027806385169927</v>
      </c>
    </row>
    <row r="898" spans="1:15" x14ac:dyDescent="0.3">
      <c r="A898" s="3" t="s">
        <v>1103</v>
      </c>
      <c r="B898" t="str">
        <f t="shared" ca="1" si="156"/>
        <v>Ms. Anjali Singh</v>
      </c>
      <c r="C898">
        <f t="shared" ca="1" si="157"/>
        <v>30</v>
      </c>
      <c r="D898" t="str">
        <f t="shared" ca="1" si="158"/>
        <v>Male</v>
      </c>
      <c r="E898">
        <f t="shared" ca="1" si="159"/>
        <v>1560186</v>
      </c>
      <c r="F898">
        <f t="shared" ca="1" si="160"/>
        <v>1247407</v>
      </c>
      <c r="G898">
        <f t="shared" ca="1" si="161"/>
        <v>12</v>
      </c>
      <c r="H898">
        <f t="shared" ca="1" si="162"/>
        <v>746</v>
      </c>
      <c r="I898" t="str">
        <f t="shared" ca="1" si="163"/>
        <v>Contract-Based</v>
      </c>
      <c r="J898" t="str">
        <f t="shared" ca="1" si="164"/>
        <v>Car</v>
      </c>
      <c r="K898" t="str">
        <f t="shared" ca="1" si="165"/>
        <v>Approved</v>
      </c>
      <c r="L898">
        <f t="shared" ref="L898:L961" si="166">COUNTA($A$2:$A$1001)</f>
        <v>971</v>
      </c>
      <c r="M898">
        <f t="shared" ca="1" si="153"/>
        <v>612</v>
      </c>
      <c r="N898">
        <f t="shared" ca="1" si="154"/>
        <v>292</v>
      </c>
      <c r="O898" s="2">
        <f t="shared" ca="1" si="155"/>
        <v>0.63027806385169927</v>
      </c>
    </row>
    <row r="899" spans="1:15" x14ac:dyDescent="0.3">
      <c r="A899" s="3" t="s">
        <v>1104</v>
      </c>
      <c r="B899" t="str">
        <f t="shared" ca="1" si="156"/>
        <v>Mr. Arun Kumar</v>
      </c>
      <c r="C899">
        <f t="shared" ca="1" si="157"/>
        <v>47</v>
      </c>
      <c r="D899" t="str">
        <f t="shared" ca="1" si="158"/>
        <v>Male</v>
      </c>
      <c r="E899">
        <f t="shared" ca="1" si="159"/>
        <v>722186</v>
      </c>
      <c r="F899">
        <f t="shared" ca="1" si="160"/>
        <v>2029796</v>
      </c>
      <c r="G899">
        <f t="shared" ca="1" si="161"/>
        <v>48</v>
      </c>
      <c r="H899">
        <f t="shared" ca="1" si="162"/>
        <v>375</v>
      </c>
      <c r="I899" t="str">
        <f t="shared" ca="1" si="163"/>
        <v>Business</v>
      </c>
      <c r="J899" t="str">
        <f t="shared" ca="1" si="164"/>
        <v>Education</v>
      </c>
      <c r="K899" t="str">
        <f t="shared" ca="1" si="165"/>
        <v>Rejected</v>
      </c>
      <c r="L899">
        <f t="shared" si="166"/>
        <v>971</v>
      </c>
      <c r="M899">
        <f t="shared" ref="M899:M962" ca="1" si="167">COUNTIF($K$2:$K$1001,"Approved")</f>
        <v>612</v>
      </c>
      <c r="N899">
        <f t="shared" ref="N899:N962" ca="1" si="168">COUNTIF($K$2:$K$1001,"Rejected")</f>
        <v>292</v>
      </c>
      <c r="O899" s="2">
        <f t="shared" ref="O899:O962" ca="1" si="169">COUNTIF($K$2:$K$1001,"Approved") / COUNTA($A$2:$A$1001)</f>
        <v>0.63027806385169927</v>
      </c>
    </row>
    <row r="900" spans="1:15" x14ac:dyDescent="0.3">
      <c r="A900" s="3" t="s">
        <v>1105</v>
      </c>
      <c r="B900" t="str">
        <f t="shared" ca="1" si="156"/>
        <v>Ms. Pooja Patel</v>
      </c>
      <c r="C900">
        <f t="shared" ca="1" si="157"/>
        <v>65</v>
      </c>
      <c r="D900" t="str">
        <f t="shared" ca="1" si="158"/>
        <v>Male</v>
      </c>
      <c r="E900">
        <f t="shared" ca="1" si="159"/>
        <v>1865397</v>
      </c>
      <c r="F900">
        <f t="shared" ca="1" si="160"/>
        <v>1331494</v>
      </c>
      <c r="G900">
        <f t="shared" ca="1" si="161"/>
        <v>60</v>
      </c>
      <c r="H900">
        <f t="shared" ca="1" si="162"/>
        <v>707</v>
      </c>
      <c r="I900" t="str">
        <f t="shared" ca="1" si="163"/>
        <v>Freelancer</v>
      </c>
      <c r="J900" t="str">
        <f t="shared" ca="1" si="164"/>
        <v>Business</v>
      </c>
      <c r="K900" t="str">
        <f t="shared" ca="1" si="165"/>
        <v>Approved</v>
      </c>
      <c r="L900">
        <f t="shared" si="166"/>
        <v>971</v>
      </c>
      <c r="M900">
        <f t="shared" ca="1" si="167"/>
        <v>612</v>
      </c>
      <c r="N900">
        <f t="shared" ca="1" si="168"/>
        <v>292</v>
      </c>
      <c r="O900" s="2">
        <f t="shared" ca="1" si="169"/>
        <v>0.63027806385169927</v>
      </c>
    </row>
    <row r="901" spans="1:15" x14ac:dyDescent="0.3">
      <c r="A901" s="3" t="s">
        <v>1106</v>
      </c>
      <c r="B901" t="str">
        <f t="shared" ca="1" si="156"/>
        <v>Ms. Kajal Yadav</v>
      </c>
      <c r="C901">
        <f t="shared" ca="1" si="157"/>
        <v>63</v>
      </c>
      <c r="D901" t="str">
        <f t="shared" ca="1" si="158"/>
        <v>Female</v>
      </c>
      <c r="E901">
        <f t="shared" ca="1" si="159"/>
        <v>1118861</v>
      </c>
      <c r="F901">
        <f t="shared" ca="1" si="160"/>
        <v>1313640</v>
      </c>
      <c r="G901">
        <f t="shared" ca="1" si="161"/>
        <v>48</v>
      </c>
      <c r="H901">
        <f t="shared" ca="1" si="162"/>
        <v>555</v>
      </c>
      <c r="I901" t="str">
        <f t="shared" ca="1" si="163"/>
        <v>Contract-Based</v>
      </c>
      <c r="J901" t="str">
        <f t="shared" ca="1" si="164"/>
        <v>Education</v>
      </c>
      <c r="K901" t="str">
        <f t="shared" ca="1" si="165"/>
        <v>Approved</v>
      </c>
      <c r="L901">
        <f t="shared" si="166"/>
        <v>971</v>
      </c>
      <c r="M901">
        <f t="shared" ca="1" si="167"/>
        <v>612</v>
      </c>
      <c r="N901">
        <f t="shared" ca="1" si="168"/>
        <v>292</v>
      </c>
      <c r="O901" s="2">
        <f t="shared" ca="1" si="169"/>
        <v>0.63027806385169927</v>
      </c>
    </row>
    <row r="902" spans="1:15" x14ac:dyDescent="0.3">
      <c r="A902" s="3" t="s">
        <v>1107</v>
      </c>
      <c r="B902" t="str">
        <f t="shared" ca="1" si="156"/>
        <v>Mr. Arun Kumar</v>
      </c>
      <c r="C902">
        <f t="shared" ca="1" si="157"/>
        <v>53</v>
      </c>
      <c r="D902" t="str">
        <f t="shared" ca="1" si="158"/>
        <v>Female</v>
      </c>
      <c r="E902">
        <f t="shared" ca="1" si="159"/>
        <v>1555571</v>
      </c>
      <c r="F902">
        <f t="shared" ca="1" si="160"/>
        <v>529786</v>
      </c>
      <c r="G902">
        <f t="shared" ca="1" si="161"/>
        <v>84</v>
      </c>
      <c r="H902">
        <f t="shared" ca="1" si="162"/>
        <v>491</v>
      </c>
      <c r="I902" t="str">
        <f t="shared" ca="1" si="163"/>
        <v>Contract-Based</v>
      </c>
      <c r="J902" t="str">
        <f t="shared" ca="1" si="164"/>
        <v>Personal</v>
      </c>
      <c r="K902" t="str">
        <f t="shared" ca="1" si="165"/>
        <v>Approved</v>
      </c>
      <c r="L902">
        <f t="shared" si="166"/>
        <v>971</v>
      </c>
      <c r="M902">
        <f t="shared" ca="1" si="167"/>
        <v>612</v>
      </c>
      <c r="N902">
        <f t="shared" ca="1" si="168"/>
        <v>292</v>
      </c>
      <c r="O902" s="2">
        <f t="shared" ca="1" si="169"/>
        <v>0.63027806385169927</v>
      </c>
    </row>
    <row r="903" spans="1:15" x14ac:dyDescent="0.3">
      <c r="A903" s="3" t="s">
        <v>1108</v>
      </c>
      <c r="B903" t="str">
        <f t="shared" ca="1" si="156"/>
        <v>Mr. Arun Kumar</v>
      </c>
      <c r="C903">
        <f t="shared" ca="1" si="157"/>
        <v>49</v>
      </c>
      <c r="D903" t="str">
        <f t="shared" ca="1" si="158"/>
        <v>Female</v>
      </c>
      <c r="E903">
        <f t="shared" ca="1" si="159"/>
        <v>1906728</v>
      </c>
      <c r="F903">
        <f t="shared" ca="1" si="160"/>
        <v>182712</v>
      </c>
      <c r="G903">
        <f t="shared" ca="1" si="161"/>
        <v>48</v>
      </c>
      <c r="H903">
        <f t="shared" ca="1" si="162"/>
        <v>849</v>
      </c>
      <c r="I903" t="str">
        <f t="shared" ca="1" si="163"/>
        <v>Student</v>
      </c>
      <c r="J903" t="str">
        <f t="shared" ca="1" si="164"/>
        <v>Education</v>
      </c>
      <c r="K903" t="str">
        <f t="shared" ca="1" si="165"/>
        <v>Approved</v>
      </c>
      <c r="L903">
        <f t="shared" si="166"/>
        <v>971</v>
      </c>
      <c r="M903">
        <f t="shared" ca="1" si="167"/>
        <v>612</v>
      </c>
      <c r="N903">
        <f t="shared" ca="1" si="168"/>
        <v>292</v>
      </c>
      <c r="O903" s="2">
        <f t="shared" ca="1" si="169"/>
        <v>0.63027806385169927</v>
      </c>
    </row>
    <row r="904" spans="1:15" x14ac:dyDescent="0.3">
      <c r="A904" s="3" t="s">
        <v>1109</v>
      </c>
      <c r="B904" t="str">
        <f t="shared" ca="1" si="156"/>
        <v>Ms. Pooja Patel</v>
      </c>
      <c r="C904">
        <f t="shared" ca="1" si="157"/>
        <v>50</v>
      </c>
      <c r="D904" t="str">
        <f t="shared" ca="1" si="158"/>
        <v>Male</v>
      </c>
      <c r="E904">
        <f t="shared" ca="1" si="159"/>
        <v>360180</v>
      </c>
      <c r="F904">
        <f t="shared" ca="1" si="160"/>
        <v>1655951</v>
      </c>
      <c r="G904">
        <f t="shared" ca="1" si="161"/>
        <v>72</v>
      </c>
      <c r="H904">
        <f t="shared" ca="1" si="162"/>
        <v>311</v>
      </c>
      <c r="I904" t="str">
        <f t="shared" ca="1" si="163"/>
        <v>Freelancer</v>
      </c>
      <c r="J904" t="str">
        <f t="shared" ca="1" si="164"/>
        <v>Business</v>
      </c>
      <c r="K904" t="str">
        <f t="shared" ca="1" si="165"/>
        <v>Approved</v>
      </c>
      <c r="L904">
        <f t="shared" si="166"/>
        <v>971</v>
      </c>
      <c r="M904">
        <f t="shared" ca="1" si="167"/>
        <v>612</v>
      </c>
      <c r="N904">
        <f t="shared" ca="1" si="168"/>
        <v>292</v>
      </c>
      <c r="O904" s="2">
        <f t="shared" ca="1" si="169"/>
        <v>0.63027806385169927</v>
      </c>
    </row>
    <row r="905" spans="1:15" x14ac:dyDescent="0.3">
      <c r="A905" s="3" t="s">
        <v>1110</v>
      </c>
      <c r="B905" t="str">
        <f t="shared" ca="1" si="156"/>
        <v>Mr. Raj Kumar</v>
      </c>
      <c r="C905">
        <f t="shared" ca="1" si="157"/>
        <v>24</v>
      </c>
      <c r="D905" t="str">
        <f t="shared" ca="1" si="158"/>
        <v>Male</v>
      </c>
      <c r="E905">
        <f t="shared" ca="1" si="159"/>
        <v>1951258</v>
      </c>
      <c r="F905">
        <f t="shared" ca="1" si="160"/>
        <v>683696</v>
      </c>
      <c r="G905">
        <f t="shared" ca="1" si="161"/>
        <v>84</v>
      </c>
      <c r="H905">
        <f t="shared" ca="1" si="162"/>
        <v>333</v>
      </c>
      <c r="I905" t="str">
        <f t="shared" ca="1" si="163"/>
        <v>Self-Employed</v>
      </c>
      <c r="J905" t="str">
        <f t="shared" ca="1" si="164"/>
        <v>Education</v>
      </c>
      <c r="K905" t="str">
        <f t="shared" ca="1" si="165"/>
        <v>Approved</v>
      </c>
      <c r="L905">
        <f t="shared" si="166"/>
        <v>971</v>
      </c>
      <c r="M905">
        <f t="shared" ca="1" si="167"/>
        <v>612</v>
      </c>
      <c r="N905">
        <f t="shared" ca="1" si="168"/>
        <v>292</v>
      </c>
      <c r="O905" s="2">
        <f t="shared" ca="1" si="169"/>
        <v>0.63027806385169927</v>
      </c>
    </row>
    <row r="906" spans="1:15" x14ac:dyDescent="0.3">
      <c r="A906" s="3" t="s">
        <v>1111</v>
      </c>
      <c r="B906" t="str">
        <f t="shared" ca="1" si="156"/>
        <v>Mr. Raj Kumar</v>
      </c>
      <c r="C906">
        <f t="shared" ca="1" si="157"/>
        <v>44</v>
      </c>
      <c r="D906" t="str">
        <f t="shared" ca="1" si="158"/>
        <v>Female</v>
      </c>
      <c r="E906">
        <f t="shared" ca="1" si="159"/>
        <v>1246145</v>
      </c>
      <c r="F906">
        <f t="shared" ca="1" si="160"/>
        <v>372144</v>
      </c>
      <c r="G906">
        <f t="shared" ca="1" si="161"/>
        <v>72</v>
      </c>
      <c r="H906">
        <f t="shared" ca="1" si="162"/>
        <v>436</v>
      </c>
      <c r="I906" t="str">
        <f t="shared" ca="1" si="163"/>
        <v>Self-Employed</v>
      </c>
      <c r="J906" t="str">
        <f t="shared" ca="1" si="164"/>
        <v>Business</v>
      </c>
      <c r="K906" t="str">
        <f t="shared" ca="1" si="165"/>
        <v>Approved</v>
      </c>
      <c r="L906">
        <f t="shared" si="166"/>
        <v>971</v>
      </c>
      <c r="M906">
        <f t="shared" ca="1" si="167"/>
        <v>612</v>
      </c>
      <c r="N906">
        <f t="shared" ca="1" si="168"/>
        <v>292</v>
      </c>
      <c r="O906" s="2">
        <f t="shared" ca="1" si="169"/>
        <v>0.63027806385169927</v>
      </c>
    </row>
    <row r="907" spans="1:15" x14ac:dyDescent="0.3">
      <c r="A907" s="3" t="s">
        <v>1112</v>
      </c>
      <c r="B907" t="str">
        <f t="shared" ref="B907:B970" ca="1" si="170">CHOOSE(RANDBETWEEN(1,10),
"Mr. Raj Kumar","Ms. Priya Sharma","Mr. Amit Das","Ms. Anjali Singh","Mr. Rohan Gupta",
"Ms. Neha Verma","Mr. Suresh Rao","Ms. Pooja Patel","Mr. Arun Kumar","Ms. Kajal Yadav")</f>
        <v>Ms. Pooja Patel</v>
      </c>
      <c r="C907">
        <f t="shared" ref="C907:C970" ca="1" si="171">RANDBETWEEN(21,65)</f>
        <v>65</v>
      </c>
      <c r="D907" t="str">
        <f t="shared" ref="D907:D970" ca="1" si="172">IF(LEFT(B707,3)="Mr.","Male","Female")</f>
        <v>Female</v>
      </c>
      <c r="E907">
        <f t="shared" ref="E907:E970" ca="1" si="173">RANDBETWEEN(200000,2000000)</f>
        <v>1424444</v>
      </c>
      <c r="F907">
        <f t="shared" ref="F907:F970" ca="1" si="174">RANDBETWEEN(50000,2500000)</f>
        <v>371706</v>
      </c>
      <c r="G907">
        <f t="shared" ref="G907:G970" ca="1" si="175">CHOOSE(RANDBETWEEN(1,7),12,24,36,48,60,72,84)</f>
        <v>12</v>
      </c>
      <c r="H907">
        <f t="shared" ref="H907:H970" ca="1" si="176">RANDBETWEEN(300,900)</f>
        <v>312</v>
      </c>
      <c r="I907" t="str">
        <f t="shared" ref="I907:I970" ca="1" si="177">CHOOSE(RANDBETWEEN(1,6),
"Salaried","Self-Employed","Business","Freelancer","Student","Contract-Based")</f>
        <v>Business</v>
      </c>
      <c r="J907" t="str">
        <f t="shared" ref="J907:J970" ca="1" si="178">CHOOSE(RANDBETWEEN(1,5),
"Home","Car","Education","Business","Personal")</f>
        <v>Home</v>
      </c>
      <c r="K907" t="str">
        <f t="shared" ref="K907:K970" ca="1" si="179">IF(RANDBETWEEN(1,100)&lt;=70,"Approved","Rejected")</f>
        <v>Approved</v>
      </c>
      <c r="L907">
        <f t="shared" si="166"/>
        <v>971</v>
      </c>
      <c r="M907">
        <f t="shared" ca="1" si="167"/>
        <v>612</v>
      </c>
      <c r="N907">
        <f t="shared" ca="1" si="168"/>
        <v>292</v>
      </c>
      <c r="O907" s="2">
        <f t="shared" ca="1" si="169"/>
        <v>0.63027806385169927</v>
      </c>
    </row>
    <row r="908" spans="1:15" x14ac:dyDescent="0.3">
      <c r="A908" s="3" t="s">
        <v>1113</v>
      </c>
      <c r="B908" t="str">
        <f t="shared" ca="1" si="170"/>
        <v>Mr. Suresh Rao</v>
      </c>
      <c r="C908">
        <f t="shared" ca="1" si="171"/>
        <v>64</v>
      </c>
      <c r="D908" t="str">
        <f t="shared" ca="1" si="172"/>
        <v>Female</v>
      </c>
      <c r="E908">
        <f t="shared" ca="1" si="173"/>
        <v>1019000</v>
      </c>
      <c r="F908">
        <f t="shared" ca="1" si="174"/>
        <v>631500</v>
      </c>
      <c r="G908">
        <f t="shared" ca="1" si="175"/>
        <v>12</v>
      </c>
      <c r="H908">
        <f t="shared" ca="1" si="176"/>
        <v>752</v>
      </c>
      <c r="I908" t="str">
        <f t="shared" ca="1" si="177"/>
        <v>Student</v>
      </c>
      <c r="J908" t="str">
        <f t="shared" ca="1" si="178"/>
        <v>Personal</v>
      </c>
      <c r="K908" t="str">
        <f t="shared" ca="1" si="179"/>
        <v>Approved</v>
      </c>
      <c r="L908">
        <f t="shared" si="166"/>
        <v>971</v>
      </c>
      <c r="M908">
        <f t="shared" ca="1" si="167"/>
        <v>612</v>
      </c>
      <c r="N908">
        <f t="shared" ca="1" si="168"/>
        <v>292</v>
      </c>
      <c r="O908" s="2">
        <f t="shared" ca="1" si="169"/>
        <v>0.63027806385169927</v>
      </c>
    </row>
    <row r="909" spans="1:15" x14ac:dyDescent="0.3">
      <c r="A909" s="3" t="s">
        <v>1114</v>
      </c>
      <c r="B909" t="str">
        <f t="shared" ca="1" si="170"/>
        <v>Ms. Priya Sharma</v>
      </c>
      <c r="C909">
        <f t="shared" ca="1" si="171"/>
        <v>26</v>
      </c>
      <c r="D909" t="str">
        <f t="shared" ca="1" si="172"/>
        <v>Male</v>
      </c>
      <c r="E909">
        <f t="shared" ca="1" si="173"/>
        <v>948445</v>
      </c>
      <c r="F909">
        <f t="shared" ca="1" si="174"/>
        <v>1643257</v>
      </c>
      <c r="G909">
        <f t="shared" ca="1" si="175"/>
        <v>36</v>
      </c>
      <c r="H909">
        <f t="shared" ca="1" si="176"/>
        <v>474</v>
      </c>
      <c r="I909" t="str">
        <f t="shared" ca="1" si="177"/>
        <v>Student</v>
      </c>
      <c r="J909" t="str">
        <f t="shared" ca="1" si="178"/>
        <v>Business</v>
      </c>
      <c r="K909" t="str">
        <f t="shared" ca="1" si="179"/>
        <v>Approved</v>
      </c>
      <c r="L909">
        <f t="shared" si="166"/>
        <v>971</v>
      </c>
      <c r="M909">
        <f t="shared" ca="1" si="167"/>
        <v>612</v>
      </c>
      <c r="N909">
        <f t="shared" ca="1" si="168"/>
        <v>292</v>
      </c>
      <c r="O909" s="2">
        <f t="shared" ca="1" si="169"/>
        <v>0.63027806385169927</v>
      </c>
    </row>
    <row r="910" spans="1:15" x14ac:dyDescent="0.3">
      <c r="A910" s="3" t="s">
        <v>1115</v>
      </c>
      <c r="B910" t="str">
        <f t="shared" ca="1" si="170"/>
        <v>Ms. Kajal Yadav</v>
      </c>
      <c r="C910">
        <f t="shared" ca="1" si="171"/>
        <v>36</v>
      </c>
      <c r="D910" t="str">
        <f t="shared" ca="1" si="172"/>
        <v>Female</v>
      </c>
      <c r="E910">
        <f t="shared" ca="1" si="173"/>
        <v>430103</v>
      </c>
      <c r="F910">
        <f t="shared" ca="1" si="174"/>
        <v>1474151</v>
      </c>
      <c r="G910">
        <f t="shared" ca="1" si="175"/>
        <v>48</v>
      </c>
      <c r="H910">
        <f t="shared" ca="1" si="176"/>
        <v>480</v>
      </c>
      <c r="I910" t="str">
        <f t="shared" ca="1" si="177"/>
        <v>Salaried</v>
      </c>
      <c r="J910" t="str">
        <f t="shared" ca="1" si="178"/>
        <v>Car</v>
      </c>
      <c r="K910" t="str">
        <f t="shared" ca="1" si="179"/>
        <v>Rejected</v>
      </c>
      <c r="L910">
        <f t="shared" si="166"/>
        <v>971</v>
      </c>
      <c r="M910">
        <f t="shared" ca="1" si="167"/>
        <v>612</v>
      </c>
      <c r="N910">
        <f t="shared" ca="1" si="168"/>
        <v>292</v>
      </c>
      <c r="O910" s="2">
        <f t="shared" ca="1" si="169"/>
        <v>0.63027806385169927</v>
      </c>
    </row>
    <row r="911" spans="1:15" x14ac:dyDescent="0.3">
      <c r="A911" s="3" t="s">
        <v>1116</v>
      </c>
      <c r="B911" t="str">
        <f t="shared" ca="1" si="170"/>
        <v>Mr. Rohan Gupta</v>
      </c>
      <c r="C911">
        <f t="shared" ca="1" si="171"/>
        <v>59</v>
      </c>
      <c r="D911" t="str">
        <f t="shared" ca="1" si="172"/>
        <v>Male</v>
      </c>
      <c r="E911">
        <f t="shared" ca="1" si="173"/>
        <v>1581463</v>
      </c>
      <c r="F911">
        <f t="shared" ca="1" si="174"/>
        <v>1773180</v>
      </c>
      <c r="G911">
        <f t="shared" ca="1" si="175"/>
        <v>36</v>
      </c>
      <c r="H911">
        <f t="shared" ca="1" si="176"/>
        <v>676</v>
      </c>
      <c r="I911" t="str">
        <f t="shared" ca="1" si="177"/>
        <v>Student</v>
      </c>
      <c r="J911" t="str">
        <f t="shared" ca="1" si="178"/>
        <v>Business</v>
      </c>
      <c r="K911" t="str">
        <f t="shared" ca="1" si="179"/>
        <v>Approved</v>
      </c>
      <c r="L911">
        <f t="shared" si="166"/>
        <v>971</v>
      </c>
      <c r="M911">
        <f t="shared" ca="1" si="167"/>
        <v>612</v>
      </c>
      <c r="N911">
        <f t="shared" ca="1" si="168"/>
        <v>292</v>
      </c>
      <c r="O911" s="2">
        <f t="shared" ca="1" si="169"/>
        <v>0.63027806385169927</v>
      </c>
    </row>
    <row r="912" spans="1:15" x14ac:dyDescent="0.3">
      <c r="A912" s="3" t="s">
        <v>1117</v>
      </c>
      <c r="B912" t="str">
        <f t="shared" ca="1" si="170"/>
        <v>Mr. Suresh Rao</v>
      </c>
      <c r="C912">
        <f t="shared" ca="1" si="171"/>
        <v>31</v>
      </c>
      <c r="D912" t="str">
        <f t="shared" ca="1" si="172"/>
        <v>Female</v>
      </c>
      <c r="E912">
        <f t="shared" ca="1" si="173"/>
        <v>1226852</v>
      </c>
      <c r="F912">
        <f t="shared" ca="1" si="174"/>
        <v>382879</v>
      </c>
      <c r="G912">
        <f t="shared" ca="1" si="175"/>
        <v>24</v>
      </c>
      <c r="H912">
        <f t="shared" ca="1" si="176"/>
        <v>760</v>
      </c>
      <c r="I912" t="str">
        <f t="shared" ca="1" si="177"/>
        <v>Self-Employed</v>
      </c>
      <c r="J912" t="str">
        <f t="shared" ca="1" si="178"/>
        <v>Business</v>
      </c>
      <c r="K912" t="str">
        <f t="shared" ca="1" si="179"/>
        <v>Approved</v>
      </c>
      <c r="L912">
        <f t="shared" si="166"/>
        <v>971</v>
      </c>
      <c r="M912">
        <f t="shared" ca="1" si="167"/>
        <v>612</v>
      </c>
      <c r="N912">
        <f t="shared" ca="1" si="168"/>
        <v>292</v>
      </c>
      <c r="O912" s="2">
        <f t="shared" ca="1" si="169"/>
        <v>0.63027806385169927</v>
      </c>
    </row>
    <row r="913" spans="1:15" x14ac:dyDescent="0.3">
      <c r="A913" s="3" t="s">
        <v>1118</v>
      </c>
      <c r="B913" t="str">
        <f t="shared" ca="1" si="170"/>
        <v>Mr. Raj Kumar</v>
      </c>
      <c r="C913">
        <f t="shared" ca="1" si="171"/>
        <v>41</v>
      </c>
      <c r="D913" t="str">
        <f t="shared" ca="1" si="172"/>
        <v>Female</v>
      </c>
      <c r="E913">
        <f t="shared" ca="1" si="173"/>
        <v>1706944</v>
      </c>
      <c r="F913">
        <f t="shared" ca="1" si="174"/>
        <v>994392</v>
      </c>
      <c r="G913">
        <f t="shared" ca="1" si="175"/>
        <v>48</v>
      </c>
      <c r="H913">
        <f t="shared" ca="1" si="176"/>
        <v>836</v>
      </c>
      <c r="I913" t="str">
        <f t="shared" ca="1" si="177"/>
        <v>Freelancer</v>
      </c>
      <c r="J913" t="str">
        <f t="shared" ca="1" si="178"/>
        <v>Home</v>
      </c>
      <c r="K913" t="str">
        <f t="shared" ca="1" si="179"/>
        <v>Approved</v>
      </c>
      <c r="L913">
        <f t="shared" si="166"/>
        <v>971</v>
      </c>
      <c r="M913">
        <f t="shared" ca="1" si="167"/>
        <v>612</v>
      </c>
      <c r="N913">
        <f t="shared" ca="1" si="168"/>
        <v>292</v>
      </c>
      <c r="O913" s="2">
        <f t="shared" ca="1" si="169"/>
        <v>0.63027806385169927</v>
      </c>
    </row>
    <row r="914" spans="1:15" x14ac:dyDescent="0.3">
      <c r="A914" s="3" t="s">
        <v>1119</v>
      </c>
      <c r="B914" t="str">
        <f t="shared" ca="1" si="170"/>
        <v>Mr. Rohan Gupta</v>
      </c>
      <c r="C914">
        <f t="shared" ca="1" si="171"/>
        <v>22</v>
      </c>
      <c r="D914" t="str">
        <f t="shared" ca="1" si="172"/>
        <v>Male</v>
      </c>
      <c r="E914">
        <f t="shared" ca="1" si="173"/>
        <v>1537825</v>
      </c>
      <c r="F914">
        <f t="shared" ca="1" si="174"/>
        <v>842348</v>
      </c>
      <c r="G914">
        <f t="shared" ca="1" si="175"/>
        <v>72</v>
      </c>
      <c r="H914">
        <f t="shared" ca="1" si="176"/>
        <v>452</v>
      </c>
      <c r="I914" t="str">
        <f t="shared" ca="1" si="177"/>
        <v>Freelancer</v>
      </c>
      <c r="J914" t="str">
        <f t="shared" ca="1" si="178"/>
        <v>Home</v>
      </c>
      <c r="K914" t="str">
        <f t="shared" ca="1" si="179"/>
        <v>Approved</v>
      </c>
      <c r="L914">
        <f t="shared" si="166"/>
        <v>971</v>
      </c>
      <c r="M914">
        <f t="shared" ca="1" si="167"/>
        <v>612</v>
      </c>
      <c r="N914">
        <f t="shared" ca="1" si="168"/>
        <v>292</v>
      </c>
      <c r="O914" s="2">
        <f t="shared" ca="1" si="169"/>
        <v>0.63027806385169927</v>
      </c>
    </row>
    <row r="915" spans="1:15" x14ac:dyDescent="0.3">
      <c r="A915" s="3" t="s">
        <v>1120</v>
      </c>
      <c r="B915" t="str">
        <f t="shared" ca="1" si="170"/>
        <v>Ms. Pooja Patel</v>
      </c>
      <c r="C915">
        <f t="shared" ca="1" si="171"/>
        <v>44</v>
      </c>
      <c r="D915" t="str">
        <f t="shared" ca="1" si="172"/>
        <v>Female</v>
      </c>
      <c r="E915">
        <f t="shared" ca="1" si="173"/>
        <v>627648</v>
      </c>
      <c r="F915">
        <f t="shared" ca="1" si="174"/>
        <v>1361875</v>
      </c>
      <c r="G915">
        <f t="shared" ca="1" si="175"/>
        <v>60</v>
      </c>
      <c r="H915">
        <f t="shared" ca="1" si="176"/>
        <v>604</v>
      </c>
      <c r="I915" t="str">
        <f t="shared" ca="1" si="177"/>
        <v>Self-Employed</v>
      </c>
      <c r="J915" t="str">
        <f t="shared" ca="1" si="178"/>
        <v>Personal</v>
      </c>
      <c r="K915" t="str">
        <f t="shared" ca="1" si="179"/>
        <v>Rejected</v>
      </c>
      <c r="L915">
        <f t="shared" si="166"/>
        <v>971</v>
      </c>
      <c r="M915">
        <f t="shared" ca="1" si="167"/>
        <v>612</v>
      </c>
      <c r="N915">
        <f t="shared" ca="1" si="168"/>
        <v>292</v>
      </c>
      <c r="O915" s="2">
        <f t="shared" ca="1" si="169"/>
        <v>0.63027806385169927</v>
      </c>
    </row>
    <row r="916" spans="1:15" x14ac:dyDescent="0.3">
      <c r="A916" s="3" t="s">
        <v>1121</v>
      </c>
      <c r="B916" t="str">
        <f t="shared" ca="1" si="170"/>
        <v>Ms. Kajal Yadav</v>
      </c>
      <c r="C916">
        <f t="shared" ca="1" si="171"/>
        <v>50</v>
      </c>
      <c r="D916" t="str">
        <f t="shared" ca="1" si="172"/>
        <v>Male</v>
      </c>
      <c r="E916">
        <f t="shared" ca="1" si="173"/>
        <v>1560381</v>
      </c>
      <c r="F916">
        <f t="shared" ca="1" si="174"/>
        <v>1809460</v>
      </c>
      <c r="G916">
        <f t="shared" ca="1" si="175"/>
        <v>12</v>
      </c>
      <c r="H916">
        <f t="shared" ca="1" si="176"/>
        <v>616</v>
      </c>
      <c r="I916" t="str">
        <f t="shared" ca="1" si="177"/>
        <v>Contract-Based</v>
      </c>
      <c r="J916" t="str">
        <f t="shared" ca="1" si="178"/>
        <v>Home</v>
      </c>
      <c r="K916" t="str">
        <f t="shared" ca="1" si="179"/>
        <v>Approved</v>
      </c>
      <c r="L916">
        <f t="shared" si="166"/>
        <v>971</v>
      </c>
      <c r="M916">
        <f t="shared" ca="1" si="167"/>
        <v>612</v>
      </c>
      <c r="N916">
        <f t="shared" ca="1" si="168"/>
        <v>292</v>
      </c>
      <c r="O916" s="2">
        <f t="shared" ca="1" si="169"/>
        <v>0.63027806385169927</v>
      </c>
    </row>
    <row r="917" spans="1:15" x14ac:dyDescent="0.3">
      <c r="A917" s="3" t="s">
        <v>1122</v>
      </c>
      <c r="B917" t="str">
        <f t="shared" ca="1" si="170"/>
        <v>Mr. Raj Kumar</v>
      </c>
      <c r="C917">
        <f t="shared" ca="1" si="171"/>
        <v>49</v>
      </c>
      <c r="D917" t="str">
        <f t="shared" ca="1" si="172"/>
        <v>Female</v>
      </c>
      <c r="E917">
        <f t="shared" ca="1" si="173"/>
        <v>1612605</v>
      </c>
      <c r="F917">
        <f t="shared" ca="1" si="174"/>
        <v>951179</v>
      </c>
      <c r="G917">
        <f t="shared" ca="1" si="175"/>
        <v>72</v>
      </c>
      <c r="H917">
        <f t="shared" ca="1" si="176"/>
        <v>754</v>
      </c>
      <c r="I917" t="str">
        <f t="shared" ca="1" si="177"/>
        <v>Business</v>
      </c>
      <c r="J917" t="str">
        <f t="shared" ca="1" si="178"/>
        <v>Car</v>
      </c>
      <c r="K917" t="str">
        <f t="shared" ca="1" si="179"/>
        <v>Approved</v>
      </c>
      <c r="L917">
        <f t="shared" si="166"/>
        <v>971</v>
      </c>
      <c r="M917">
        <f t="shared" ca="1" si="167"/>
        <v>612</v>
      </c>
      <c r="N917">
        <f t="shared" ca="1" si="168"/>
        <v>292</v>
      </c>
      <c r="O917" s="2">
        <f t="shared" ca="1" si="169"/>
        <v>0.63027806385169927</v>
      </c>
    </row>
    <row r="918" spans="1:15" x14ac:dyDescent="0.3">
      <c r="A918" s="3" t="s">
        <v>1123</v>
      </c>
      <c r="B918" t="str">
        <f t="shared" ca="1" si="170"/>
        <v>Mr. Raj Kumar</v>
      </c>
      <c r="C918">
        <f t="shared" ca="1" si="171"/>
        <v>22</v>
      </c>
      <c r="D918" t="str">
        <f t="shared" ca="1" si="172"/>
        <v>Female</v>
      </c>
      <c r="E918">
        <f t="shared" ca="1" si="173"/>
        <v>333777</v>
      </c>
      <c r="F918">
        <f t="shared" ca="1" si="174"/>
        <v>2137060</v>
      </c>
      <c r="G918">
        <f t="shared" ca="1" si="175"/>
        <v>36</v>
      </c>
      <c r="H918">
        <f t="shared" ca="1" si="176"/>
        <v>540</v>
      </c>
      <c r="I918" t="str">
        <f t="shared" ca="1" si="177"/>
        <v>Freelancer</v>
      </c>
      <c r="J918" t="str">
        <f t="shared" ca="1" si="178"/>
        <v>Education</v>
      </c>
      <c r="K918" t="str">
        <f t="shared" ca="1" si="179"/>
        <v>Rejected</v>
      </c>
      <c r="L918">
        <f t="shared" si="166"/>
        <v>971</v>
      </c>
      <c r="M918">
        <f t="shared" ca="1" si="167"/>
        <v>612</v>
      </c>
      <c r="N918">
        <f t="shared" ca="1" si="168"/>
        <v>292</v>
      </c>
      <c r="O918" s="2">
        <f t="shared" ca="1" si="169"/>
        <v>0.63027806385169927</v>
      </c>
    </row>
    <row r="919" spans="1:15" x14ac:dyDescent="0.3">
      <c r="A919" s="3" t="s">
        <v>1124</v>
      </c>
      <c r="B919" t="str">
        <f t="shared" ca="1" si="170"/>
        <v>Ms. Neha Verma</v>
      </c>
      <c r="C919">
        <f t="shared" ca="1" si="171"/>
        <v>22</v>
      </c>
      <c r="D919" t="str">
        <f t="shared" ca="1" si="172"/>
        <v>Female</v>
      </c>
      <c r="E919">
        <f t="shared" ca="1" si="173"/>
        <v>1183699</v>
      </c>
      <c r="F919">
        <f t="shared" ca="1" si="174"/>
        <v>2472027</v>
      </c>
      <c r="G919">
        <f t="shared" ca="1" si="175"/>
        <v>84</v>
      </c>
      <c r="H919">
        <f t="shared" ca="1" si="176"/>
        <v>432</v>
      </c>
      <c r="I919" t="str">
        <f t="shared" ca="1" si="177"/>
        <v>Self-Employed</v>
      </c>
      <c r="J919" t="str">
        <f t="shared" ca="1" si="178"/>
        <v>Business</v>
      </c>
      <c r="K919" t="str">
        <f t="shared" ca="1" si="179"/>
        <v>Approved</v>
      </c>
      <c r="L919">
        <f t="shared" si="166"/>
        <v>971</v>
      </c>
      <c r="M919">
        <f t="shared" ca="1" si="167"/>
        <v>612</v>
      </c>
      <c r="N919">
        <f t="shared" ca="1" si="168"/>
        <v>292</v>
      </c>
      <c r="O919" s="2">
        <f t="shared" ca="1" si="169"/>
        <v>0.63027806385169927</v>
      </c>
    </row>
    <row r="920" spans="1:15" x14ac:dyDescent="0.3">
      <c r="A920" s="3" t="s">
        <v>1125</v>
      </c>
      <c r="B920" t="str">
        <f t="shared" ca="1" si="170"/>
        <v>Mr. Suresh Rao</v>
      </c>
      <c r="C920">
        <f t="shared" ca="1" si="171"/>
        <v>58</v>
      </c>
      <c r="D920" t="str">
        <f t="shared" ca="1" si="172"/>
        <v>Male</v>
      </c>
      <c r="E920">
        <f t="shared" ca="1" si="173"/>
        <v>1048414</v>
      </c>
      <c r="F920">
        <f t="shared" ca="1" si="174"/>
        <v>1941286</v>
      </c>
      <c r="G920">
        <f t="shared" ca="1" si="175"/>
        <v>72</v>
      </c>
      <c r="H920">
        <f t="shared" ca="1" si="176"/>
        <v>870</v>
      </c>
      <c r="I920" t="str">
        <f t="shared" ca="1" si="177"/>
        <v>Self-Employed</v>
      </c>
      <c r="J920" t="str">
        <f t="shared" ca="1" si="178"/>
        <v>Education</v>
      </c>
      <c r="K920" t="str">
        <f t="shared" ca="1" si="179"/>
        <v>Rejected</v>
      </c>
      <c r="L920">
        <f t="shared" si="166"/>
        <v>971</v>
      </c>
      <c r="M920">
        <f t="shared" ca="1" si="167"/>
        <v>612</v>
      </c>
      <c r="N920">
        <f t="shared" ca="1" si="168"/>
        <v>292</v>
      </c>
      <c r="O920" s="2">
        <f t="shared" ca="1" si="169"/>
        <v>0.63027806385169927</v>
      </c>
    </row>
    <row r="921" spans="1:15" x14ac:dyDescent="0.3">
      <c r="A921" s="3" t="s">
        <v>1126</v>
      </c>
      <c r="B921" t="str">
        <f t="shared" ca="1" si="170"/>
        <v>Mr. Rohan Gupta</v>
      </c>
      <c r="C921">
        <f t="shared" ca="1" si="171"/>
        <v>36</v>
      </c>
      <c r="D921" t="str">
        <f t="shared" ca="1" si="172"/>
        <v>Male</v>
      </c>
      <c r="E921">
        <f t="shared" ca="1" si="173"/>
        <v>499712</v>
      </c>
      <c r="F921">
        <f t="shared" ca="1" si="174"/>
        <v>2485573</v>
      </c>
      <c r="G921">
        <f t="shared" ca="1" si="175"/>
        <v>72</v>
      </c>
      <c r="H921">
        <f t="shared" ca="1" si="176"/>
        <v>842</v>
      </c>
      <c r="I921" t="str">
        <f t="shared" ca="1" si="177"/>
        <v>Student</v>
      </c>
      <c r="J921" t="str">
        <f t="shared" ca="1" si="178"/>
        <v>Personal</v>
      </c>
      <c r="K921" t="str">
        <f t="shared" ca="1" si="179"/>
        <v>Approved</v>
      </c>
      <c r="L921">
        <f t="shared" si="166"/>
        <v>971</v>
      </c>
      <c r="M921">
        <f t="shared" ca="1" si="167"/>
        <v>612</v>
      </c>
      <c r="N921">
        <f t="shared" ca="1" si="168"/>
        <v>292</v>
      </c>
      <c r="O921" s="2">
        <f t="shared" ca="1" si="169"/>
        <v>0.63027806385169927</v>
      </c>
    </row>
    <row r="922" spans="1:15" x14ac:dyDescent="0.3">
      <c r="A922" s="3" t="s">
        <v>1127</v>
      </c>
      <c r="B922" t="str">
        <f t="shared" ca="1" si="170"/>
        <v>Mr. Suresh Rao</v>
      </c>
      <c r="C922">
        <f t="shared" ca="1" si="171"/>
        <v>61</v>
      </c>
      <c r="D922" t="str">
        <f t="shared" ca="1" si="172"/>
        <v>Male</v>
      </c>
      <c r="E922">
        <f t="shared" ca="1" si="173"/>
        <v>1510777</v>
      </c>
      <c r="F922">
        <f t="shared" ca="1" si="174"/>
        <v>1033725</v>
      </c>
      <c r="G922">
        <f t="shared" ca="1" si="175"/>
        <v>84</v>
      </c>
      <c r="H922">
        <f t="shared" ca="1" si="176"/>
        <v>514</v>
      </c>
      <c r="I922" t="str">
        <f t="shared" ca="1" si="177"/>
        <v>Freelancer</v>
      </c>
      <c r="J922" t="str">
        <f t="shared" ca="1" si="178"/>
        <v>Car</v>
      </c>
      <c r="K922" t="str">
        <f t="shared" ca="1" si="179"/>
        <v>Approved</v>
      </c>
      <c r="L922">
        <f t="shared" si="166"/>
        <v>971</v>
      </c>
      <c r="M922">
        <f t="shared" ca="1" si="167"/>
        <v>612</v>
      </c>
      <c r="N922">
        <f t="shared" ca="1" si="168"/>
        <v>292</v>
      </c>
      <c r="O922" s="2">
        <f t="shared" ca="1" si="169"/>
        <v>0.63027806385169927</v>
      </c>
    </row>
    <row r="923" spans="1:15" x14ac:dyDescent="0.3">
      <c r="A923" s="3" t="s">
        <v>1128</v>
      </c>
      <c r="B923" t="str">
        <f t="shared" ca="1" si="170"/>
        <v>Mr. Suresh Rao</v>
      </c>
      <c r="C923">
        <f t="shared" ca="1" si="171"/>
        <v>49</v>
      </c>
      <c r="D923" t="str">
        <f t="shared" ca="1" si="172"/>
        <v>Female</v>
      </c>
      <c r="E923">
        <f t="shared" ca="1" si="173"/>
        <v>1687757</v>
      </c>
      <c r="F923">
        <f t="shared" ca="1" si="174"/>
        <v>787471</v>
      </c>
      <c r="G923">
        <f t="shared" ca="1" si="175"/>
        <v>24</v>
      </c>
      <c r="H923">
        <f t="shared" ca="1" si="176"/>
        <v>397</v>
      </c>
      <c r="I923" t="str">
        <f t="shared" ca="1" si="177"/>
        <v>Salaried</v>
      </c>
      <c r="J923" t="str">
        <f t="shared" ca="1" si="178"/>
        <v>Personal</v>
      </c>
      <c r="K923" t="str">
        <f t="shared" ca="1" si="179"/>
        <v>Approved</v>
      </c>
      <c r="L923">
        <f t="shared" si="166"/>
        <v>971</v>
      </c>
      <c r="M923">
        <f t="shared" ca="1" si="167"/>
        <v>612</v>
      </c>
      <c r="N923">
        <f t="shared" ca="1" si="168"/>
        <v>292</v>
      </c>
      <c r="O923" s="2">
        <f t="shared" ca="1" si="169"/>
        <v>0.63027806385169927</v>
      </c>
    </row>
    <row r="924" spans="1:15" x14ac:dyDescent="0.3">
      <c r="A924" s="3" t="s">
        <v>1129</v>
      </c>
      <c r="B924" t="str">
        <f t="shared" ca="1" si="170"/>
        <v>Mr. Suresh Rao</v>
      </c>
      <c r="C924">
        <f t="shared" ca="1" si="171"/>
        <v>42</v>
      </c>
      <c r="D924" t="str">
        <f t="shared" ca="1" si="172"/>
        <v>Male</v>
      </c>
      <c r="E924">
        <f t="shared" ca="1" si="173"/>
        <v>1653820</v>
      </c>
      <c r="F924">
        <f t="shared" ca="1" si="174"/>
        <v>590835</v>
      </c>
      <c r="G924">
        <f t="shared" ca="1" si="175"/>
        <v>48</v>
      </c>
      <c r="H924">
        <f t="shared" ca="1" si="176"/>
        <v>365</v>
      </c>
      <c r="I924" t="str">
        <f t="shared" ca="1" si="177"/>
        <v>Contract-Based</v>
      </c>
      <c r="J924" t="str">
        <f t="shared" ca="1" si="178"/>
        <v>Car</v>
      </c>
      <c r="K924" t="str">
        <f t="shared" ca="1" si="179"/>
        <v>Rejected</v>
      </c>
      <c r="L924">
        <f t="shared" si="166"/>
        <v>971</v>
      </c>
      <c r="M924">
        <f t="shared" ca="1" si="167"/>
        <v>612</v>
      </c>
      <c r="N924">
        <f t="shared" ca="1" si="168"/>
        <v>292</v>
      </c>
      <c r="O924" s="2">
        <f t="shared" ca="1" si="169"/>
        <v>0.63027806385169927</v>
      </c>
    </row>
    <row r="925" spans="1:15" x14ac:dyDescent="0.3">
      <c r="A925" s="3" t="s">
        <v>1130</v>
      </c>
      <c r="B925" t="str">
        <f t="shared" ca="1" si="170"/>
        <v>Mr. Amit Das</v>
      </c>
      <c r="C925">
        <f t="shared" ca="1" si="171"/>
        <v>21</v>
      </c>
      <c r="D925" t="str">
        <f t="shared" ca="1" si="172"/>
        <v>Male</v>
      </c>
      <c r="E925">
        <f t="shared" ca="1" si="173"/>
        <v>1715786</v>
      </c>
      <c r="F925">
        <f t="shared" ca="1" si="174"/>
        <v>111568</v>
      </c>
      <c r="G925">
        <f t="shared" ca="1" si="175"/>
        <v>72</v>
      </c>
      <c r="H925">
        <f t="shared" ca="1" si="176"/>
        <v>564</v>
      </c>
      <c r="I925" t="str">
        <f t="shared" ca="1" si="177"/>
        <v>Student</v>
      </c>
      <c r="J925" t="str">
        <f t="shared" ca="1" si="178"/>
        <v>Car</v>
      </c>
      <c r="K925" t="str">
        <f t="shared" ca="1" si="179"/>
        <v>Rejected</v>
      </c>
      <c r="L925">
        <f t="shared" si="166"/>
        <v>971</v>
      </c>
      <c r="M925">
        <f t="shared" ca="1" si="167"/>
        <v>612</v>
      </c>
      <c r="N925">
        <f t="shared" ca="1" si="168"/>
        <v>292</v>
      </c>
      <c r="O925" s="2">
        <f t="shared" ca="1" si="169"/>
        <v>0.63027806385169927</v>
      </c>
    </row>
    <row r="926" spans="1:15" x14ac:dyDescent="0.3">
      <c r="A926" s="3" t="s">
        <v>1131</v>
      </c>
      <c r="B926" t="str">
        <f t="shared" ca="1" si="170"/>
        <v>Mr. Suresh Rao</v>
      </c>
      <c r="C926">
        <f t="shared" ca="1" si="171"/>
        <v>27</v>
      </c>
      <c r="D926" t="str">
        <f t="shared" ca="1" si="172"/>
        <v>Male</v>
      </c>
      <c r="E926">
        <f t="shared" ca="1" si="173"/>
        <v>511086</v>
      </c>
      <c r="F926">
        <f t="shared" ca="1" si="174"/>
        <v>348075</v>
      </c>
      <c r="G926">
        <f t="shared" ca="1" si="175"/>
        <v>60</v>
      </c>
      <c r="H926">
        <f t="shared" ca="1" si="176"/>
        <v>308</v>
      </c>
      <c r="I926" t="str">
        <f t="shared" ca="1" si="177"/>
        <v>Freelancer</v>
      </c>
      <c r="J926" t="str">
        <f t="shared" ca="1" si="178"/>
        <v>Personal</v>
      </c>
      <c r="K926" t="str">
        <f t="shared" ca="1" si="179"/>
        <v>Approved</v>
      </c>
      <c r="L926">
        <f t="shared" si="166"/>
        <v>971</v>
      </c>
      <c r="M926">
        <f t="shared" ca="1" si="167"/>
        <v>612</v>
      </c>
      <c r="N926">
        <f t="shared" ca="1" si="168"/>
        <v>292</v>
      </c>
      <c r="O926" s="2">
        <f t="shared" ca="1" si="169"/>
        <v>0.63027806385169927</v>
      </c>
    </row>
    <row r="927" spans="1:15" x14ac:dyDescent="0.3">
      <c r="A927" s="3" t="s">
        <v>1132</v>
      </c>
      <c r="B927" t="str">
        <f t="shared" ca="1" si="170"/>
        <v>Ms. Pooja Patel</v>
      </c>
      <c r="C927">
        <f t="shared" ca="1" si="171"/>
        <v>29</v>
      </c>
      <c r="D927" t="str">
        <f t="shared" ca="1" si="172"/>
        <v>Female</v>
      </c>
      <c r="E927">
        <f t="shared" ca="1" si="173"/>
        <v>433305</v>
      </c>
      <c r="F927">
        <f t="shared" ca="1" si="174"/>
        <v>1569611</v>
      </c>
      <c r="G927">
        <f t="shared" ca="1" si="175"/>
        <v>60</v>
      </c>
      <c r="H927">
        <f t="shared" ca="1" si="176"/>
        <v>526</v>
      </c>
      <c r="I927" t="str">
        <f t="shared" ca="1" si="177"/>
        <v>Student</v>
      </c>
      <c r="J927" t="str">
        <f t="shared" ca="1" si="178"/>
        <v>Home</v>
      </c>
      <c r="K927" t="str">
        <f t="shared" ca="1" si="179"/>
        <v>Rejected</v>
      </c>
      <c r="L927">
        <f t="shared" si="166"/>
        <v>971</v>
      </c>
      <c r="M927">
        <f t="shared" ca="1" si="167"/>
        <v>612</v>
      </c>
      <c r="N927">
        <f t="shared" ca="1" si="168"/>
        <v>292</v>
      </c>
      <c r="O927" s="2">
        <f t="shared" ca="1" si="169"/>
        <v>0.63027806385169927</v>
      </c>
    </row>
    <row r="928" spans="1:15" x14ac:dyDescent="0.3">
      <c r="A928" s="3" t="s">
        <v>1133</v>
      </c>
      <c r="B928" t="str">
        <f t="shared" ca="1" si="170"/>
        <v>Mr. Rohan Gupta</v>
      </c>
      <c r="C928">
        <f t="shared" ca="1" si="171"/>
        <v>36</v>
      </c>
      <c r="D928" t="str">
        <f t="shared" ca="1" si="172"/>
        <v>Male</v>
      </c>
      <c r="E928">
        <f t="shared" ca="1" si="173"/>
        <v>1515216</v>
      </c>
      <c r="F928">
        <f t="shared" ca="1" si="174"/>
        <v>519596</v>
      </c>
      <c r="G928">
        <f t="shared" ca="1" si="175"/>
        <v>48</v>
      </c>
      <c r="H928">
        <f t="shared" ca="1" si="176"/>
        <v>775</v>
      </c>
      <c r="I928" t="str">
        <f t="shared" ca="1" si="177"/>
        <v>Freelancer</v>
      </c>
      <c r="J928" t="str">
        <f t="shared" ca="1" si="178"/>
        <v>Home</v>
      </c>
      <c r="K928" t="str">
        <f t="shared" ca="1" si="179"/>
        <v>Rejected</v>
      </c>
      <c r="L928">
        <f t="shared" si="166"/>
        <v>971</v>
      </c>
      <c r="M928">
        <f t="shared" ca="1" si="167"/>
        <v>612</v>
      </c>
      <c r="N928">
        <f t="shared" ca="1" si="168"/>
        <v>292</v>
      </c>
      <c r="O928" s="2">
        <f t="shared" ca="1" si="169"/>
        <v>0.63027806385169927</v>
      </c>
    </row>
    <row r="929" spans="1:15" x14ac:dyDescent="0.3">
      <c r="A929" s="3" t="s">
        <v>1134</v>
      </c>
      <c r="B929" t="str">
        <f t="shared" ca="1" si="170"/>
        <v>Mr. Suresh Rao</v>
      </c>
      <c r="C929">
        <f t="shared" ca="1" si="171"/>
        <v>28</v>
      </c>
      <c r="D929" t="str">
        <f t="shared" ca="1" si="172"/>
        <v>Female</v>
      </c>
      <c r="E929">
        <f t="shared" ca="1" si="173"/>
        <v>1231150</v>
      </c>
      <c r="F929">
        <f t="shared" ca="1" si="174"/>
        <v>367964</v>
      </c>
      <c r="G929">
        <f t="shared" ca="1" si="175"/>
        <v>84</v>
      </c>
      <c r="H929">
        <f t="shared" ca="1" si="176"/>
        <v>315</v>
      </c>
      <c r="I929" t="str">
        <f t="shared" ca="1" si="177"/>
        <v>Business</v>
      </c>
      <c r="J929" t="str">
        <f t="shared" ca="1" si="178"/>
        <v>Personal</v>
      </c>
      <c r="K929" t="str">
        <f t="shared" ca="1" si="179"/>
        <v>Approved</v>
      </c>
      <c r="L929">
        <f t="shared" si="166"/>
        <v>971</v>
      </c>
      <c r="M929">
        <f t="shared" ca="1" si="167"/>
        <v>612</v>
      </c>
      <c r="N929">
        <f t="shared" ca="1" si="168"/>
        <v>292</v>
      </c>
      <c r="O929" s="2">
        <f t="shared" ca="1" si="169"/>
        <v>0.63027806385169927</v>
      </c>
    </row>
    <row r="930" spans="1:15" x14ac:dyDescent="0.3">
      <c r="A930" s="3" t="s">
        <v>1135</v>
      </c>
      <c r="B930" t="str">
        <f t="shared" ca="1" si="170"/>
        <v>Ms. Kajal Yadav</v>
      </c>
      <c r="C930">
        <f t="shared" ca="1" si="171"/>
        <v>21</v>
      </c>
      <c r="D930" t="str">
        <f t="shared" ca="1" si="172"/>
        <v>Female</v>
      </c>
      <c r="E930">
        <f t="shared" ca="1" si="173"/>
        <v>745434</v>
      </c>
      <c r="F930">
        <f t="shared" ca="1" si="174"/>
        <v>2169471</v>
      </c>
      <c r="G930">
        <f t="shared" ca="1" si="175"/>
        <v>36</v>
      </c>
      <c r="H930">
        <f t="shared" ca="1" si="176"/>
        <v>347</v>
      </c>
      <c r="I930" t="str">
        <f t="shared" ca="1" si="177"/>
        <v>Freelancer</v>
      </c>
      <c r="J930" t="str">
        <f t="shared" ca="1" si="178"/>
        <v>Car</v>
      </c>
      <c r="K930" t="str">
        <f t="shared" ca="1" si="179"/>
        <v>Approved</v>
      </c>
      <c r="L930">
        <f t="shared" si="166"/>
        <v>971</v>
      </c>
      <c r="M930">
        <f t="shared" ca="1" si="167"/>
        <v>612</v>
      </c>
      <c r="N930">
        <f t="shared" ca="1" si="168"/>
        <v>292</v>
      </c>
      <c r="O930" s="2">
        <f t="shared" ca="1" si="169"/>
        <v>0.63027806385169927</v>
      </c>
    </row>
    <row r="931" spans="1:15" x14ac:dyDescent="0.3">
      <c r="A931" s="3" t="s">
        <v>1136</v>
      </c>
      <c r="B931" t="str">
        <f t="shared" ca="1" si="170"/>
        <v>Mr. Raj Kumar</v>
      </c>
      <c r="C931">
        <f t="shared" ca="1" si="171"/>
        <v>27</v>
      </c>
      <c r="D931" t="str">
        <f t="shared" ca="1" si="172"/>
        <v>Male</v>
      </c>
      <c r="E931">
        <f t="shared" ca="1" si="173"/>
        <v>302048</v>
      </c>
      <c r="F931">
        <f t="shared" ca="1" si="174"/>
        <v>560362</v>
      </c>
      <c r="G931">
        <f t="shared" ca="1" si="175"/>
        <v>60</v>
      </c>
      <c r="H931">
        <f t="shared" ca="1" si="176"/>
        <v>855</v>
      </c>
      <c r="I931" t="str">
        <f t="shared" ca="1" si="177"/>
        <v>Self-Employed</v>
      </c>
      <c r="J931" t="str">
        <f t="shared" ca="1" si="178"/>
        <v>Car</v>
      </c>
      <c r="K931" t="str">
        <f t="shared" ca="1" si="179"/>
        <v>Rejected</v>
      </c>
      <c r="L931">
        <f t="shared" si="166"/>
        <v>971</v>
      </c>
      <c r="M931">
        <f t="shared" ca="1" si="167"/>
        <v>612</v>
      </c>
      <c r="N931">
        <f t="shared" ca="1" si="168"/>
        <v>292</v>
      </c>
      <c r="O931" s="2">
        <f t="shared" ca="1" si="169"/>
        <v>0.63027806385169927</v>
      </c>
    </row>
    <row r="932" spans="1:15" x14ac:dyDescent="0.3">
      <c r="A932" s="3" t="s">
        <v>1137</v>
      </c>
      <c r="B932" t="str">
        <f t="shared" ca="1" si="170"/>
        <v>Mr. Rohan Gupta</v>
      </c>
      <c r="C932">
        <f t="shared" ca="1" si="171"/>
        <v>33</v>
      </c>
      <c r="D932" t="str">
        <f t="shared" ca="1" si="172"/>
        <v>Male</v>
      </c>
      <c r="E932">
        <f t="shared" ca="1" si="173"/>
        <v>1809766</v>
      </c>
      <c r="F932">
        <f t="shared" ca="1" si="174"/>
        <v>272598</v>
      </c>
      <c r="G932">
        <f t="shared" ca="1" si="175"/>
        <v>36</v>
      </c>
      <c r="H932">
        <f t="shared" ca="1" si="176"/>
        <v>896</v>
      </c>
      <c r="I932" t="str">
        <f t="shared" ca="1" si="177"/>
        <v>Student</v>
      </c>
      <c r="J932" t="str">
        <f t="shared" ca="1" si="178"/>
        <v>Home</v>
      </c>
      <c r="K932" t="str">
        <f t="shared" ca="1" si="179"/>
        <v>Approved</v>
      </c>
      <c r="L932">
        <f t="shared" si="166"/>
        <v>971</v>
      </c>
      <c r="M932">
        <f t="shared" ca="1" si="167"/>
        <v>612</v>
      </c>
      <c r="N932">
        <f t="shared" ca="1" si="168"/>
        <v>292</v>
      </c>
      <c r="O932" s="2">
        <f t="shared" ca="1" si="169"/>
        <v>0.63027806385169927</v>
      </c>
    </row>
    <row r="933" spans="1:15" x14ac:dyDescent="0.3">
      <c r="A933" s="3" t="s">
        <v>1138</v>
      </c>
      <c r="B933" t="str">
        <f t="shared" ca="1" si="170"/>
        <v>Mr. Rohan Gupta</v>
      </c>
      <c r="C933">
        <f t="shared" ca="1" si="171"/>
        <v>33</v>
      </c>
      <c r="D933" t="str">
        <f t="shared" ca="1" si="172"/>
        <v>Male</v>
      </c>
      <c r="E933">
        <f t="shared" ca="1" si="173"/>
        <v>1721006</v>
      </c>
      <c r="F933">
        <f t="shared" ca="1" si="174"/>
        <v>1360124</v>
      </c>
      <c r="G933">
        <f t="shared" ca="1" si="175"/>
        <v>24</v>
      </c>
      <c r="H933">
        <f t="shared" ca="1" si="176"/>
        <v>601</v>
      </c>
      <c r="I933" t="str">
        <f t="shared" ca="1" si="177"/>
        <v>Salaried</v>
      </c>
      <c r="J933" t="str">
        <f t="shared" ca="1" si="178"/>
        <v>Education</v>
      </c>
      <c r="K933" t="str">
        <f t="shared" ca="1" si="179"/>
        <v>Approved</v>
      </c>
      <c r="L933">
        <f t="shared" si="166"/>
        <v>971</v>
      </c>
      <c r="M933">
        <f t="shared" ca="1" si="167"/>
        <v>612</v>
      </c>
      <c r="N933">
        <f t="shared" ca="1" si="168"/>
        <v>292</v>
      </c>
      <c r="O933" s="2">
        <f t="shared" ca="1" si="169"/>
        <v>0.63027806385169927</v>
      </c>
    </row>
    <row r="934" spans="1:15" x14ac:dyDescent="0.3">
      <c r="A934" s="3" t="s">
        <v>1139</v>
      </c>
      <c r="B934" t="str">
        <f t="shared" ca="1" si="170"/>
        <v>Mr. Rohan Gupta</v>
      </c>
      <c r="C934">
        <f t="shared" ca="1" si="171"/>
        <v>24</v>
      </c>
      <c r="D934" t="str">
        <f t="shared" ca="1" si="172"/>
        <v>Female</v>
      </c>
      <c r="E934">
        <f t="shared" ca="1" si="173"/>
        <v>1408250</v>
      </c>
      <c r="F934">
        <f t="shared" ca="1" si="174"/>
        <v>516075</v>
      </c>
      <c r="G934">
        <f t="shared" ca="1" si="175"/>
        <v>60</v>
      </c>
      <c r="H934">
        <f t="shared" ca="1" si="176"/>
        <v>707</v>
      </c>
      <c r="I934" t="str">
        <f t="shared" ca="1" si="177"/>
        <v>Freelancer</v>
      </c>
      <c r="J934" t="str">
        <f t="shared" ca="1" si="178"/>
        <v>Business</v>
      </c>
      <c r="K934" t="str">
        <f t="shared" ca="1" si="179"/>
        <v>Approved</v>
      </c>
      <c r="L934">
        <f t="shared" si="166"/>
        <v>971</v>
      </c>
      <c r="M934">
        <f t="shared" ca="1" si="167"/>
        <v>612</v>
      </c>
      <c r="N934">
        <f t="shared" ca="1" si="168"/>
        <v>292</v>
      </c>
      <c r="O934" s="2">
        <f t="shared" ca="1" si="169"/>
        <v>0.63027806385169927</v>
      </c>
    </row>
    <row r="935" spans="1:15" x14ac:dyDescent="0.3">
      <c r="A935" s="3" t="s">
        <v>1140</v>
      </c>
      <c r="B935" t="str">
        <f t="shared" ca="1" si="170"/>
        <v>Mr. Suresh Rao</v>
      </c>
      <c r="C935">
        <f t="shared" ca="1" si="171"/>
        <v>50</v>
      </c>
      <c r="D935" t="str">
        <f t="shared" ca="1" si="172"/>
        <v>Male</v>
      </c>
      <c r="E935">
        <f t="shared" ca="1" si="173"/>
        <v>1442772</v>
      </c>
      <c r="F935">
        <f t="shared" ca="1" si="174"/>
        <v>1968879</v>
      </c>
      <c r="G935">
        <f t="shared" ca="1" si="175"/>
        <v>48</v>
      </c>
      <c r="H935">
        <f t="shared" ca="1" si="176"/>
        <v>366</v>
      </c>
      <c r="I935" t="str">
        <f t="shared" ca="1" si="177"/>
        <v>Salaried</v>
      </c>
      <c r="J935" t="str">
        <f t="shared" ca="1" si="178"/>
        <v>Personal</v>
      </c>
      <c r="K935" t="str">
        <f t="shared" ca="1" si="179"/>
        <v>Rejected</v>
      </c>
      <c r="L935">
        <f t="shared" si="166"/>
        <v>971</v>
      </c>
      <c r="M935">
        <f t="shared" ca="1" si="167"/>
        <v>612</v>
      </c>
      <c r="N935">
        <f t="shared" ca="1" si="168"/>
        <v>292</v>
      </c>
      <c r="O935" s="2">
        <f t="shared" ca="1" si="169"/>
        <v>0.63027806385169927</v>
      </c>
    </row>
    <row r="936" spans="1:15" x14ac:dyDescent="0.3">
      <c r="A936" s="3" t="s">
        <v>1141</v>
      </c>
      <c r="B936" t="str">
        <f t="shared" ca="1" si="170"/>
        <v>Mr. Amit Das</v>
      </c>
      <c r="C936">
        <f t="shared" ca="1" si="171"/>
        <v>26</v>
      </c>
      <c r="D936" t="str">
        <f t="shared" ca="1" si="172"/>
        <v>Male</v>
      </c>
      <c r="E936">
        <f t="shared" ca="1" si="173"/>
        <v>1684889</v>
      </c>
      <c r="F936">
        <f t="shared" ca="1" si="174"/>
        <v>2063378</v>
      </c>
      <c r="G936">
        <f t="shared" ca="1" si="175"/>
        <v>12</v>
      </c>
      <c r="H936">
        <f t="shared" ca="1" si="176"/>
        <v>669</v>
      </c>
      <c r="I936" t="str">
        <f t="shared" ca="1" si="177"/>
        <v>Business</v>
      </c>
      <c r="J936" t="str">
        <f t="shared" ca="1" si="178"/>
        <v>Business</v>
      </c>
      <c r="K936" t="str">
        <f t="shared" ca="1" si="179"/>
        <v>Approved</v>
      </c>
      <c r="L936">
        <f t="shared" si="166"/>
        <v>971</v>
      </c>
      <c r="M936">
        <f t="shared" ca="1" si="167"/>
        <v>612</v>
      </c>
      <c r="N936">
        <f t="shared" ca="1" si="168"/>
        <v>292</v>
      </c>
      <c r="O936" s="2">
        <f t="shared" ca="1" si="169"/>
        <v>0.63027806385169927</v>
      </c>
    </row>
    <row r="937" spans="1:15" x14ac:dyDescent="0.3">
      <c r="A937" s="3" t="s">
        <v>1142</v>
      </c>
      <c r="B937" t="str">
        <f t="shared" ca="1" si="170"/>
        <v>Mr. Arun Kumar</v>
      </c>
      <c r="C937">
        <f t="shared" ca="1" si="171"/>
        <v>33</v>
      </c>
      <c r="D937" t="str">
        <f t="shared" ca="1" si="172"/>
        <v>Male</v>
      </c>
      <c r="E937">
        <f t="shared" ca="1" si="173"/>
        <v>1976410</v>
      </c>
      <c r="F937">
        <f t="shared" ca="1" si="174"/>
        <v>1383907</v>
      </c>
      <c r="G937">
        <f t="shared" ca="1" si="175"/>
        <v>60</v>
      </c>
      <c r="H937">
        <f t="shared" ca="1" si="176"/>
        <v>494</v>
      </c>
      <c r="I937" t="str">
        <f t="shared" ca="1" si="177"/>
        <v>Freelancer</v>
      </c>
      <c r="J937" t="str">
        <f t="shared" ca="1" si="178"/>
        <v>Home</v>
      </c>
      <c r="K937" t="str">
        <f t="shared" ca="1" si="179"/>
        <v>Rejected</v>
      </c>
      <c r="L937">
        <f t="shared" si="166"/>
        <v>971</v>
      </c>
      <c r="M937">
        <f t="shared" ca="1" si="167"/>
        <v>612</v>
      </c>
      <c r="N937">
        <f t="shared" ca="1" si="168"/>
        <v>292</v>
      </c>
      <c r="O937" s="2">
        <f t="shared" ca="1" si="169"/>
        <v>0.63027806385169927</v>
      </c>
    </row>
    <row r="938" spans="1:15" x14ac:dyDescent="0.3">
      <c r="A938" s="3" t="s">
        <v>1143</v>
      </c>
      <c r="B938" t="str">
        <f t="shared" ca="1" si="170"/>
        <v>Mr. Amit Das</v>
      </c>
      <c r="C938">
        <f t="shared" ca="1" si="171"/>
        <v>54</v>
      </c>
      <c r="D938" t="str">
        <f t="shared" ca="1" si="172"/>
        <v>Female</v>
      </c>
      <c r="E938">
        <f t="shared" ca="1" si="173"/>
        <v>1215408</v>
      </c>
      <c r="F938">
        <f t="shared" ca="1" si="174"/>
        <v>277605</v>
      </c>
      <c r="G938">
        <f t="shared" ca="1" si="175"/>
        <v>12</v>
      </c>
      <c r="H938">
        <f t="shared" ca="1" si="176"/>
        <v>702</v>
      </c>
      <c r="I938" t="str">
        <f t="shared" ca="1" si="177"/>
        <v>Contract-Based</v>
      </c>
      <c r="J938" t="str">
        <f t="shared" ca="1" si="178"/>
        <v>Personal</v>
      </c>
      <c r="K938" t="str">
        <f t="shared" ca="1" si="179"/>
        <v>Approved</v>
      </c>
      <c r="L938">
        <f t="shared" si="166"/>
        <v>971</v>
      </c>
      <c r="M938">
        <f t="shared" ca="1" si="167"/>
        <v>612</v>
      </c>
      <c r="N938">
        <f t="shared" ca="1" si="168"/>
        <v>292</v>
      </c>
      <c r="O938" s="2">
        <f t="shared" ca="1" si="169"/>
        <v>0.63027806385169927</v>
      </c>
    </row>
    <row r="939" spans="1:15" x14ac:dyDescent="0.3">
      <c r="A939" s="3" t="s">
        <v>1144</v>
      </c>
      <c r="B939" t="str">
        <f t="shared" ca="1" si="170"/>
        <v>Mr. Arun Kumar</v>
      </c>
      <c r="C939">
        <f t="shared" ca="1" si="171"/>
        <v>62</v>
      </c>
      <c r="D939" t="str">
        <f t="shared" ca="1" si="172"/>
        <v>Female</v>
      </c>
      <c r="E939">
        <f t="shared" ca="1" si="173"/>
        <v>1516566</v>
      </c>
      <c r="F939">
        <f t="shared" ca="1" si="174"/>
        <v>1088833</v>
      </c>
      <c r="G939">
        <f t="shared" ca="1" si="175"/>
        <v>60</v>
      </c>
      <c r="H939">
        <f t="shared" ca="1" si="176"/>
        <v>729</v>
      </c>
      <c r="I939" t="str">
        <f t="shared" ca="1" si="177"/>
        <v>Salaried</v>
      </c>
      <c r="J939" t="str">
        <f t="shared" ca="1" si="178"/>
        <v>Personal</v>
      </c>
      <c r="K939" t="str">
        <f t="shared" ca="1" si="179"/>
        <v>Rejected</v>
      </c>
      <c r="L939">
        <f t="shared" si="166"/>
        <v>971</v>
      </c>
      <c r="M939">
        <f t="shared" ca="1" si="167"/>
        <v>612</v>
      </c>
      <c r="N939">
        <f t="shared" ca="1" si="168"/>
        <v>292</v>
      </c>
      <c r="O939" s="2">
        <f t="shared" ca="1" si="169"/>
        <v>0.63027806385169927</v>
      </c>
    </row>
    <row r="940" spans="1:15" x14ac:dyDescent="0.3">
      <c r="A940" s="3" t="s">
        <v>1145</v>
      </c>
      <c r="B940" t="str">
        <f t="shared" ca="1" si="170"/>
        <v>Mr. Arun Kumar</v>
      </c>
      <c r="C940">
        <f t="shared" ca="1" si="171"/>
        <v>25</v>
      </c>
      <c r="D940" t="str">
        <f t="shared" ca="1" si="172"/>
        <v>Male</v>
      </c>
      <c r="E940">
        <f t="shared" ca="1" si="173"/>
        <v>1962213</v>
      </c>
      <c r="F940">
        <f t="shared" ca="1" si="174"/>
        <v>1153656</v>
      </c>
      <c r="G940">
        <f t="shared" ca="1" si="175"/>
        <v>36</v>
      </c>
      <c r="H940">
        <f t="shared" ca="1" si="176"/>
        <v>471</v>
      </c>
      <c r="I940" t="str">
        <f t="shared" ca="1" si="177"/>
        <v>Business</v>
      </c>
      <c r="J940" t="str">
        <f t="shared" ca="1" si="178"/>
        <v>Car</v>
      </c>
      <c r="K940" t="str">
        <f t="shared" ca="1" si="179"/>
        <v>Approved</v>
      </c>
      <c r="L940">
        <f t="shared" si="166"/>
        <v>971</v>
      </c>
      <c r="M940">
        <f t="shared" ca="1" si="167"/>
        <v>612</v>
      </c>
      <c r="N940">
        <f t="shared" ca="1" si="168"/>
        <v>292</v>
      </c>
      <c r="O940" s="2">
        <f t="shared" ca="1" si="169"/>
        <v>0.63027806385169927</v>
      </c>
    </row>
    <row r="941" spans="1:15" x14ac:dyDescent="0.3">
      <c r="A941" s="3" t="s">
        <v>1146</v>
      </c>
      <c r="B941" t="str">
        <f t="shared" ca="1" si="170"/>
        <v>Mr. Raj Kumar</v>
      </c>
      <c r="C941">
        <f t="shared" ca="1" si="171"/>
        <v>30</v>
      </c>
      <c r="D941" t="str">
        <f t="shared" ca="1" si="172"/>
        <v>Female</v>
      </c>
      <c r="E941">
        <f t="shared" ca="1" si="173"/>
        <v>936196</v>
      </c>
      <c r="F941">
        <f t="shared" ca="1" si="174"/>
        <v>314941</v>
      </c>
      <c r="G941">
        <f t="shared" ca="1" si="175"/>
        <v>48</v>
      </c>
      <c r="H941">
        <f t="shared" ca="1" si="176"/>
        <v>645</v>
      </c>
      <c r="I941" t="str">
        <f t="shared" ca="1" si="177"/>
        <v>Salaried</v>
      </c>
      <c r="J941" t="str">
        <f t="shared" ca="1" si="178"/>
        <v>Business</v>
      </c>
      <c r="K941" t="str">
        <f t="shared" ca="1" si="179"/>
        <v>Approved</v>
      </c>
      <c r="L941">
        <f t="shared" si="166"/>
        <v>971</v>
      </c>
      <c r="M941">
        <f t="shared" ca="1" si="167"/>
        <v>612</v>
      </c>
      <c r="N941">
        <f t="shared" ca="1" si="168"/>
        <v>292</v>
      </c>
      <c r="O941" s="2">
        <f t="shared" ca="1" si="169"/>
        <v>0.63027806385169927</v>
      </c>
    </row>
    <row r="942" spans="1:15" x14ac:dyDescent="0.3">
      <c r="A942" s="3" t="s">
        <v>1147</v>
      </c>
      <c r="B942" t="str">
        <f t="shared" ca="1" si="170"/>
        <v>Ms. Anjali Singh</v>
      </c>
      <c r="C942">
        <f t="shared" ca="1" si="171"/>
        <v>43</v>
      </c>
      <c r="D942" t="str">
        <f t="shared" ca="1" si="172"/>
        <v>Female</v>
      </c>
      <c r="E942">
        <f t="shared" ca="1" si="173"/>
        <v>1255556</v>
      </c>
      <c r="F942">
        <f t="shared" ca="1" si="174"/>
        <v>1621795</v>
      </c>
      <c r="G942">
        <f t="shared" ca="1" si="175"/>
        <v>48</v>
      </c>
      <c r="H942">
        <f t="shared" ca="1" si="176"/>
        <v>642</v>
      </c>
      <c r="I942" t="str">
        <f t="shared" ca="1" si="177"/>
        <v>Contract-Based</v>
      </c>
      <c r="J942" t="str">
        <f t="shared" ca="1" si="178"/>
        <v>Business</v>
      </c>
      <c r="K942" t="str">
        <f t="shared" ca="1" si="179"/>
        <v>Approved</v>
      </c>
      <c r="L942">
        <f t="shared" si="166"/>
        <v>971</v>
      </c>
      <c r="M942">
        <f t="shared" ca="1" si="167"/>
        <v>612</v>
      </c>
      <c r="N942">
        <f t="shared" ca="1" si="168"/>
        <v>292</v>
      </c>
      <c r="O942" s="2">
        <f t="shared" ca="1" si="169"/>
        <v>0.63027806385169927</v>
      </c>
    </row>
    <row r="943" spans="1:15" x14ac:dyDescent="0.3">
      <c r="A943" s="3" t="s">
        <v>1148</v>
      </c>
      <c r="B943" t="str">
        <f t="shared" ca="1" si="170"/>
        <v>Ms. Anjali Singh</v>
      </c>
      <c r="C943">
        <f t="shared" ca="1" si="171"/>
        <v>57</v>
      </c>
      <c r="D943" t="str">
        <f t="shared" ca="1" si="172"/>
        <v>Female</v>
      </c>
      <c r="E943">
        <f t="shared" ca="1" si="173"/>
        <v>1289645</v>
      </c>
      <c r="F943">
        <f t="shared" ca="1" si="174"/>
        <v>2006871</v>
      </c>
      <c r="G943">
        <f t="shared" ca="1" si="175"/>
        <v>60</v>
      </c>
      <c r="H943">
        <f t="shared" ca="1" si="176"/>
        <v>313</v>
      </c>
      <c r="I943" t="str">
        <f t="shared" ca="1" si="177"/>
        <v>Contract-Based</v>
      </c>
      <c r="J943" t="str">
        <f t="shared" ca="1" si="178"/>
        <v>Education</v>
      </c>
      <c r="K943" t="str">
        <f t="shared" ca="1" si="179"/>
        <v>Approved</v>
      </c>
      <c r="L943">
        <f t="shared" si="166"/>
        <v>971</v>
      </c>
      <c r="M943">
        <f t="shared" ca="1" si="167"/>
        <v>612</v>
      </c>
      <c r="N943">
        <f t="shared" ca="1" si="168"/>
        <v>292</v>
      </c>
      <c r="O943" s="2">
        <f t="shared" ca="1" si="169"/>
        <v>0.63027806385169927</v>
      </c>
    </row>
    <row r="944" spans="1:15" x14ac:dyDescent="0.3">
      <c r="A944" s="3" t="s">
        <v>1149</v>
      </c>
      <c r="B944" t="str">
        <f t="shared" ca="1" si="170"/>
        <v>Mr. Arun Kumar</v>
      </c>
      <c r="C944">
        <f t="shared" ca="1" si="171"/>
        <v>40</v>
      </c>
      <c r="D944" t="str">
        <f t="shared" ca="1" si="172"/>
        <v>Female</v>
      </c>
      <c r="E944">
        <f t="shared" ca="1" si="173"/>
        <v>620094</v>
      </c>
      <c r="F944">
        <f t="shared" ca="1" si="174"/>
        <v>168880</v>
      </c>
      <c r="G944">
        <f t="shared" ca="1" si="175"/>
        <v>36</v>
      </c>
      <c r="H944">
        <f t="shared" ca="1" si="176"/>
        <v>775</v>
      </c>
      <c r="I944" t="str">
        <f t="shared" ca="1" si="177"/>
        <v>Freelancer</v>
      </c>
      <c r="J944" t="str">
        <f t="shared" ca="1" si="178"/>
        <v>Home</v>
      </c>
      <c r="K944" t="str">
        <f t="shared" ca="1" si="179"/>
        <v>Approved</v>
      </c>
      <c r="L944">
        <f t="shared" si="166"/>
        <v>971</v>
      </c>
      <c r="M944">
        <f t="shared" ca="1" si="167"/>
        <v>612</v>
      </c>
      <c r="N944">
        <f t="shared" ca="1" si="168"/>
        <v>292</v>
      </c>
      <c r="O944" s="2">
        <f t="shared" ca="1" si="169"/>
        <v>0.63027806385169927</v>
      </c>
    </row>
    <row r="945" spans="1:15" x14ac:dyDescent="0.3">
      <c r="A945" s="3" t="s">
        <v>1150</v>
      </c>
      <c r="B945" t="str">
        <f t="shared" ca="1" si="170"/>
        <v>Ms. Anjali Singh</v>
      </c>
      <c r="C945">
        <f t="shared" ca="1" si="171"/>
        <v>43</v>
      </c>
      <c r="D945" t="str">
        <f t="shared" ca="1" si="172"/>
        <v>Male</v>
      </c>
      <c r="E945">
        <f t="shared" ca="1" si="173"/>
        <v>873338</v>
      </c>
      <c r="F945">
        <f t="shared" ca="1" si="174"/>
        <v>302955</v>
      </c>
      <c r="G945">
        <f t="shared" ca="1" si="175"/>
        <v>36</v>
      </c>
      <c r="H945">
        <f t="shared" ca="1" si="176"/>
        <v>675</v>
      </c>
      <c r="I945" t="str">
        <f t="shared" ca="1" si="177"/>
        <v>Salaried</v>
      </c>
      <c r="J945" t="str">
        <f t="shared" ca="1" si="178"/>
        <v>Business</v>
      </c>
      <c r="K945" t="str">
        <f t="shared" ca="1" si="179"/>
        <v>Approved</v>
      </c>
      <c r="L945">
        <f t="shared" si="166"/>
        <v>971</v>
      </c>
      <c r="M945">
        <f t="shared" ca="1" si="167"/>
        <v>612</v>
      </c>
      <c r="N945">
        <f t="shared" ca="1" si="168"/>
        <v>292</v>
      </c>
      <c r="O945" s="2">
        <f t="shared" ca="1" si="169"/>
        <v>0.63027806385169927</v>
      </c>
    </row>
    <row r="946" spans="1:15" x14ac:dyDescent="0.3">
      <c r="A946" s="3" t="s">
        <v>1151</v>
      </c>
      <c r="B946" t="str">
        <f t="shared" ca="1" si="170"/>
        <v>Ms. Neha Verma</v>
      </c>
      <c r="C946">
        <f t="shared" ca="1" si="171"/>
        <v>61</v>
      </c>
      <c r="D946" t="str">
        <f t="shared" ca="1" si="172"/>
        <v>Male</v>
      </c>
      <c r="E946">
        <f t="shared" ca="1" si="173"/>
        <v>414068</v>
      </c>
      <c r="F946">
        <f t="shared" ca="1" si="174"/>
        <v>686840</v>
      </c>
      <c r="G946">
        <f t="shared" ca="1" si="175"/>
        <v>36</v>
      </c>
      <c r="H946">
        <f t="shared" ca="1" si="176"/>
        <v>668</v>
      </c>
      <c r="I946" t="str">
        <f t="shared" ca="1" si="177"/>
        <v>Self-Employed</v>
      </c>
      <c r="J946" t="str">
        <f t="shared" ca="1" si="178"/>
        <v>Education</v>
      </c>
      <c r="K946" t="str">
        <f t="shared" ca="1" si="179"/>
        <v>Approved</v>
      </c>
      <c r="L946">
        <f t="shared" si="166"/>
        <v>971</v>
      </c>
      <c r="M946">
        <f t="shared" ca="1" si="167"/>
        <v>612</v>
      </c>
      <c r="N946">
        <f t="shared" ca="1" si="168"/>
        <v>292</v>
      </c>
      <c r="O946" s="2">
        <f t="shared" ca="1" si="169"/>
        <v>0.63027806385169927</v>
      </c>
    </row>
    <row r="947" spans="1:15" x14ac:dyDescent="0.3">
      <c r="A947" s="3" t="s">
        <v>1152</v>
      </c>
      <c r="B947" t="str">
        <f t="shared" ca="1" si="170"/>
        <v>Ms. Neha Verma</v>
      </c>
      <c r="C947">
        <f t="shared" ca="1" si="171"/>
        <v>62</v>
      </c>
      <c r="D947" t="str">
        <f t="shared" ca="1" si="172"/>
        <v>Female</v>
      </c>
      <c r="E947">
        <f t="shared" ca="1" si="173"/>
        <v>638909</v>
      </c>
      <c r="F947">
        <f t="shared" ca="1" si="174"/>
        <v>525078</v>
      </c>
      <c r="G947">
        <f t="shared" ca="1" si="175"/>
        <v>60</v>
      </c>
      <c r="H947">
        <f t="shared" ca="1" si="176"/>
        <v>423</v>
      </c>
      <c r="I947" t="str">
        <f t="shared" ca="1" si="177"/>
        <v>Salaried</v>
      </c>
      <c r="J947" t="str">
        <f t="shared" ca="1" si="178"/>
        <v>Personal</v>
      </c>
      <c r="K947" t="str">
        <f t="shared" ca="1" si="179"/>
        <v>Approved</v>
      </c>
      <c r="L947">
        <f t="shared" si="166"/>
        <v>971</v>
      </c>
      <c r="M947">
        <f t="shared" ca="1" si="167"/>
        <v>612</v>
      </c>
      <c r="N947">
        <f t="shared" ca="1" si="168"/>
        <v>292</v>
      </c>
      <c r="O947" s="2">
        <f t="shared" ca="1" si="169"/>
        <v>0.63027806385169927</v>
      </c>
    </row>
    <row r="948" spans="1:15" x14ac:dyDescent="0.3">
      <c r="A948" s="3" t="s">
        <v>1153</v>
      </c>
      <c r="B948" t="str">
        <f t="shared" ca="1" si="170"/>
        <v>Mr. Rohan Gupta</v>
      </c>
      <c r="C948">
        <f t="shared" ca="1" si="171"/>
        <v>56</v>
      </c>
      <c r="D948" t="str">
        <f t="shared" ca="1" si="172"/>
        <v>Male</v>
      </c>
      <c r="E948">
        <f t="shared" ca="1" si="173"/>
        <v>479734</v>
      </c>
      <c r="F948">
        <f t="shared" ca="1" si="174"/>
        <v>784509</v>
      </c>
      <c r="G948">
        <f t="shared" ca="1" si="175"/>
        <v>60</v>
      </c>
      <c r="H948">
        <f t="shared" ca="1" si="176"/>
        <v>433</v>
      </c>
      <c r="I948" t="str">
        <f t="shared" ca="1" si="177"/>
        <v>Salaried</v>
      </c>
      <c r="J948" t="str">
        <f t="shared" ca="1" si="178"/>
        <v>Education</v>
      </c>
      <c r="K948" t="str">
        <f t="shared" ca="1" si="179"/>
        <v>Approved</v>
      </c>
      <c r="L948">
        <f t="shared" si="166"/>
        <v>971</v>
      </c>
      <c r="M948">
        <f t="shared" ca="1" si="167"/>
        <v>612</v>
      </c>
      <c r="N948">
        <f t="shared" ca="1" si="168"/>
        <v>292</v>
      </c>
      <c r="O948" s="2">
        <f t="shared" ca="1" si="169"/>
        <v>0.63027806385169927</v>
      </c>
    </row>
    <row r="949" spans="1:15" x14ac:dyDescent="0.3">
      <c r="A949" s="3" t="s">
        <v>1154</v>
      </c>
      <c r="B949" t="str">
        <f t="shared" ca="1" si="170"/>
        <v>Mr. Amit Das</v>
      </c>
      <c r="C949">
        <f t="shared" ca="1" si="171"/>
        <v>27</v>
      </c>
      <c r="D949" t="str">
        <f t="shared" ca="1" si="172"/>
        <v>Female</v>
      </c>
      <c r="E949">
        <f t="shared" ca="1" si="173"/>
        <v>1508750</v>
      </c>
      <c r="F949">
        <f t="shared" ca="1" si="174"/>
        <v>919848</v>
      </c>
      <c r="G949">
        <f t="shared" ca="1" si="175"/>
        <v>48</v>
      </c>
      <c r="H949">
        <f t="shared" ca="1" si="176"/>
        <v>485</v>
      </c>
      <c r="I949" t="str">
        <f t="shared" ca="1" si="177"/>
        <v>Student</v>
      </c>
      <c r="J949" t="str">
        <f t="shared" ca="1" si="178"/>
        <v>Home</v>
      </c>
      <c r="K949" t="str">
        <f t="shared" ca="1" si="179"/>
        <v>Approved</v>
      </c>
      <c r="L949">
        <f t="shared" si="166"/>
        <v>971</v>
      </c>
      <c r="M949">
        <f t="shared" ca="1" si="167"/>
        <v>612</v>
      </c>
      <c r="N949">
        <f t="shared" ca="1" si="168"/>
        <v>292</v>
      </c>
      <c r="O949" s="2">
        <f t="shared" ca="1" si="169"/>
        <v>0.63027806385169927</v>
      </c>
    </row>
    <row r="950" spans="1:15" x14ac:dyDescent="0.3">
      <c r="A950" s="3" t="s">
        <v>1155</v>
      </c>
      <c r="B950" t="str">
        <f t="shared" ca="1" si="170"/>
        <v>Mr. Rohan Gupta</v>
      </c>
      <c r="C950">
        <f t="shared" ca="1" si="171"/>
        <v>55</v>
      </c>
      <c r="D950" t="str">
        <f t="shared" ca="1" si="172"/>
        <v>Male</v>
      </c>
      <c r="E950">
        <f t="shared" ca="1" si="173"/>
        <v>1896196</v>
      </c>
      <c r="F950">
        <f t="shared" ca="1" si="174"/>
        <v>1048384</v>
      </c>
      <c r="G950">
        <f t="shared" ca="1" si="175"/>
        <v>72</v>
      </c>
      <c r="H950">
        <f t="shared" ca="1" si="176"/>
        <v>321</v>
      </c>
      <c r="I950" t="str">
        <f t="shared" ca="1" si="177"/>
        <v>Self-Employed</v>
      </c>
      <c r="J950" t="str">
        <f t="shared" ca="1" si="178"/>
        <v>Education</v>
      </c>
      <c r="K950" t="str">
        <f t="shared" ca="1" si="179"/>
        <v>Approved</v>
      </c>
      <c r="L950">
        <f t="shared" si="166"/>
        <v>971</v>
      </c>
      <c r="M950">
        <f t="shared" ca="1" si="167"/>
        <v>612</v>
      </c>
      <c r="N950">
        <f t="shared" ca="1" si="168"/>
        <v>292</v>
      </c>
      <c r="O950" s="2">
        <f t="shared" ca="1" si="169"/>
        <v>0.63027806385169927</v>
      </c>
    </row>
    <row r="951" spans="1:15" x14ac:dyDescent="0.3">
      <c r="A951" s="3" t="s">
        <v>1156</v>
      </c>
      <c r="B951" t="str">
        <f t="shared" ca="1" si="170"/>
        <v>Ms. Pooja Patel</v>
      </c>
      <c r="C951">
        <f t="shared" ca="1" si="171"/>
        <v>22</v>
      </c>
      <c r="D951" t="str">
        <f t="shared" ca="1" si="172"/>
        <v>Male</v>
      </c>
      <c r="E951">
        <f t="shared" ca="1" si="173"/>
        <v>667161</v>
      </c>
      <c r="F951">
        <f t="shared" ca="1" si="174"/>
        <v>358057</v>
      </c>
      <c r="G951">
        <f t="shared" ca="1" si="175"/>
        <v>84</v>
      </c>
      <c r="H951">
        <f t="shared" ca="1" si="176"/>
        <v>625</v>
      </c>
      <c r="I951" t="str">
        <f t="shared" ca="1" si="177"/>
        <v>Self-Employed</v>
      </c>
      <c r="J951" t="str">
        <f t="shared" ca="1" si="178"/>
        <v>Car</v>
      </c>
      <c r="K951" t="str">
        <f t="shared" ca="1" si="179"/>
        <v>Approved</v>
      </c>
      <c r="L951">
        <f t="shared" si="166"/>
        <v>971</v>
      </c>
      <c r="M951">
        <f t="shared" ca="1" si="167"/>
        <v>612</v>
      </c>
      <c r="N951">
        <f t="shared" ca="1" si="168"/>
        <v>292</v>
      </c>
      <c r="O951" s="2">
        <f t="shared" ca="1" si="169"/>
        <v>0.63027806385169927</v>
      </c>
    </row>
    <row r="952" spans="1:15" x14ac:dyDescent="0.3">
      <c r="A952" s="3" t="s">
        <v>1157</v>
      </c>
      <c r="B952" t="str">
        <f t="shared" ca="1" si="170"/>
        <v>Ms. Priya Sharma</v>
      </c>
      <c r="C952">
        <f t="shared" ca="1" si="171"/>
        <v>57</v>
      </c>
      <c r="D952" t="str">
        <f t="shared" ca="1" si="172"/>
        <v>Male</v>
      </c>
      <c r="E952">
        <f t="shared" ca="1" si="173"/>
        <v>1163547</v>
      </c>
      <c r="F952">
        <f t="shared" ca="1" si="174"/>
        <v>2447394</v>
      </c>
      <c r="G952">
        <f t="shared" ca="1" si="175"/>
        <v>12</v>
      </c>
      <c r="H952">
        <f t="shared" ca="1" si="176"/>
        <v>606</v>
      </c>
      <c r="I952" t="str">
        <f t="shared" ca="1" si="177"/>
        <v>Student</v>
      </c>
      <c r="J952" t="str">
        <f t="shared" ca="1" si="178"/>
        <v>Home</v>
      </c>
      <c r="K952" t="str">
        <f t="shared" ca="1" si="179"/>
        <v>Approved</v>
      </c>
      <c r="L952">
        <f t="shared" si="166"/>
        <v>971</v>
      </c>
      <c r="M952">
        <f t="shared" ca="1" si="167"/>
        <v>612</v>
      </c>
      <c r="N952">
        <f t="shared" ca="1" si="168"/>
        <v>292</v>
      </c>
      <c r="O952" s="2">
        <f t="shared" ca="1" si="169"/>
        <v>0.63027806385169927</v>
      </c>
    </row>
    <row r="953" spans="1:15" x14ac:dyDescent="0.3">
      <c r="A953" s="3" t="s">
        <v>1158</v>
      </c>
      <c r="B953" t="str">
        <f t="shared" ca="1" si="170"/>
        <v>Mr. Amit Das</v>
      </c>
      <c r="C953">
        <f t="shared" ca="1" si="171"/>
        <v>41</v>
      </c>
      <c r="D953" t="str">
        <f t="shared" ca="1" si="172"/>
        <v>Male</v>
      </c>
      <c r="E953">
        <f t="shared" ca="1" si="173"/>
        <v>1913738</v>
      </c>
      <c r="F953">
        <f t="shared" ca="1" si="174"/>
        <v>2015491</v>
      </c>
      <c r="G953">
        <f t="shared" ca="1" si="175"/>
        <v>84</v>
      </c>
      <c r="H953">
        <f t="shared" ca="1" si="176"/>
        <v>456</v>
      </c>
      <c r="I953" t="str">
        <f t="shared" ca="1" si="177"/>
        <v>Business</v>
      </c>
      <c r="J953" t="str">
        <f t="shared" ca="1" si="178"/>
        <v>Education</v>
      </c>
      <c r="K953" t="str">
        <f t="shared" ca="1" si="179"/>
        <v>Approved</v>
      </c>
      <c r="L953">
        <f t="shared" si="166"/>
        <v>971</v>
      </c>
      <c r="M953">
        <f t="shared" ca="1" si="167"/>
        <v>612</v>
      </c>
      <c r="N953">
        <f t="shared" ca="1" si="168"/>
        <v>292</v>
      </c>
      <c r="O953" s="2">
        <f t="shared" ca="1" si="169"/>
        <v>0.63027806385169927</v>
      </c>
    </row>
    <row r="954" spans="1:15" x14ac:dyDescent="0.3">
      <c r="A954" s="3" t="s">
        <v>1159</v>
      </c>
      <c r="B954" t="str">
        <f t="shared" ca="1" si="170"/>
        <v>Mr. Arun Kumar</v>
      </c>
      <c r="C954">
        <f t="shared" ca="1" si="171"/>
        <v>35</v>
      </c>
      <c r="D954" t="str">
        <f t="shared" ca="1" si="172"/>
        <v>Female</v>
      </c>
      <c r="E954">
        <f t="shared" ca="1" si="173"/>
        <v>1278002</v>
      </c>
      <c r="F954">
        <f t="shared" ca="1" si="174"/>
        <v>1937783</v>
      </c>
      <c r="G954">
        <f t="shared" ca="1" si="175"/>
        <v>24</v>
      </c>
      <c r="H954">
        <f t="shared" ca="1" si="176"/>
        <v>680</v>
      </c>
      <c r="I954" t="str">
        <f t="shared" ca="1" si="177"/>
        <v>Student</v>
      </c>
      <c r="J954" t="str">
        <f t="shared" ca="1" si="178"/>
        <v>Education</v>
      </c>
      <c r="K954" t="str">
        <f t="shared" ca="1" si="179"/>
        <v>Approved</v>
      </c>
      <c r="L954">
        <f t="shared" si="166"/>
        <v>971</v>
      </c>
      <c r="M954">
        <f t="shared" ca="1" si="167"/>
        <v>612</v>
      </c>
      <c r="N954">
        <f t="shared" ca="1" si="168"/>
        <v>292</v>
      </c>
      <c r="O954" s="2">
        <f t="shared" ca="1" si="169"/>
        <v>0.63027806385169927</v>
      </c>
    </row>
    <row r="955" spans="1:15" x14ac:dyDescent="0.3">
      <c r="A955" s="3" t="s">
        <v>1160</v>
      </c>
      <c r="B955" t="str">
        <f t="shared" ca="1" si="170"/>
        <v>Ms. Kajal Yadav</v>
      </c>
      <c r="C955">
        <f t="shared" ca="1" si="171"/>
        <v>21</v>
      </c>
      <c r="D955" t="str">
        <f t="shared" ca="1" si="172"/>
        <v>Male</v>
      </c>
      <c r="E955">
        <f t="shared" ca="1" si="173"/>
        <v>1492208</v>
      </c>
      <c r="F955">
        <f t="shared" ca="1" si="174"/>
        <v>1640292</v>
      </c>
      <c r="G955">
        <f t="shared" ca="1" si="175"/>
        <v>24</v>
      </c>
      <c r="H955">
        <f t="shared" ca="1" si="176"/>
        <v>557</v>
      </c>
      <c r="I955" t="str">
        <f t="shared" ca="1" si="177"/>
        <v>Self-Employed</v>
      </c>
      <c r="J955" t="str">
        <f t="shared" ca="1" si="178"/>
        <v>Home</v>
      </c>
      <c r="K955" t="str">
        <f t="shared" ca="1" si="179"/>
        <v>Approved</v>
      </c>
      <c r="L955">
        <f t="shared" si="166"/>
        <v>971</v>
      </c>
      <c r="M955">
        <f t="shared" ca="1" si="167"/>
        <v>612</v>
      </c>
      <c r="N955">
        <f t="shared" ca="1" si="168"/>
        <v>292</v>
      </c>
      <c r="O955" s="2">
        <f t="shared" ca="1" si="169"/>
        <v>0.63027806385169927</v>
      </c>
    </row>
    <row r="956" spans="1:15" x14ac:dyDescent="0.3">
      <c r="A956" s="3" t="s">
        <v>1161</v>
      </c>
      <c r="B956" t="str">
        <f t="shared" ca="1" si="170"/>
        <v>Ms. Kajal Yadav</v>
      </c>
      <c r="C956">
        <f t="shared" ca="1" si="171"/>
        <v>34</v>
      </c>
      <c r="D956" t="str">
        <f t="shared" ca="1" si="172"/>
        <v>Male</v>
      </c>
      <c r="E956">
        <f t="shared" ca="1" si="173"/>
        <v>1836732</v>
      </c>
      <c r="F956">
        <f t="shared" ca="1" si="174"/>
        <v>57791</v>
      </c>
      <c r="G956">
        <f t="shared" ca="1" si="175"/>
        <v>60</v>
      </c>
      <c r="H956">
        <f t="shared" ca="1" si="176"/>
        <v>823</v>
      </c>
      <c r="I956" t="str">
        <f t="shared" ca="1" si="177"/>
        <v>Salaried</v>
      </c>
      <c r="J956" t="str">
        <f t="shared" ca="1" si="178"/>
        <v>Business</v>
      </c>
      <c r="K956" t="str">
        <f t="shared" ca="1" si="179"/>
        <v>Approved</v>
      </c>
      <c r="L956">
        <f t="shared" si="166"/>
        <v>971</v>
      </c>
      <c r="M956">
        <f t="shared" ca="1" si="167"/>
        <v>612</v>
      </c>
      <c r="N956">
        <f t="shared" ca="1" si="168"/>
        <v>292</v>
      </c>
      <c r="O956" s="2">
        <f t="shared" ca="1" si="169"/>
        <v>0.63027806385169927</v>
      </c>
    </row>
    <row r="957" spans="1:15" x14ac:dyDescent="0.3">
      <c r="A957" s="3" t="s">
        <v>1162</v>
      </c>
      <c r="B957" t="str">
        <f t="shared" ca="1" si="170"/>
        <v>Ms. Pooja Patel</v>
      </c>
      <c r="C957">
        <f t="shared" ca="1" si="171"/>
        <v>46</v>
      </c>
      <c r="D957" t="str">
        <f t="shared" ca="1" si="172"/>
        <v>Male</v>
      </c>
      <c r="E957">
        <f t="shared" ca="1" si="173"/>
        <v>1399938</v>
      </c>
      <c r="F957">
        <f t="shared" ca="1" si="174"/>
        <v>167873</v>
      </c>
      <c r="G957">
        <f t="shared" ca="1" si="175"/>
        <v>12</v>
      </c>
      <c r="H957">
        <f t="shared" ca="1" si="176"/>
        <v>729</v>
      </c>
      <c r="I957" t="str">
        <f t="shared" ca="1" si="177"/>
        <v>Student</v>
      </c>
      <c r="J957" t="str">
        <f t="shared" ca="1" si="178"/>
        <v>Home</v>
      </c>
      <c r="K957" t="str">
        <f t="shared" ca="1" si="179"/>
        <v>Approved</v>
      </c>
      <c r="L957">
        <f t="shared" si="166"/>
        <v>971</v>
      </c>
      <c r="M957">
        <f t="shared" ca="1" si="167"/>
        <v>612</v>
      </c>
      <c r="N957">
        <f t="shared" ca="1" si="168"/>
        <v>292</v>
      </c>
      <c r="O957" s="2">
        <f t="shared" ca="1" si="169"/>
        <v>0.63027806385169927</v>
      </c>
    </row>
    <row r="958" spans="1:15" x14ac:dyDescent="0.3">
      <c r="A958" s="3" t="s">
        <v>1163</v>
      </c>
      <c r="B958" t="str">
        <f t="shared" ca="1" si="170"/>
        <v>Mr. Rohan Gupta</v>
      </c>
      <c r="C958">
        <f t="shared" ca="1" si="171"/>
        <v>40</v>
      </c>
      <c r="D958" t="str">
        <f t="shared" ca="1" si="172"/>
        <v>Male</v>
      </c>
      <c r="E958">
        <f t="shared" ca="1" si="173"/>
        <v>1713995</v>
      </c>
      <c r="F958">
        <f t="shared" ca="1" si="174"/>
        <v>84286</v>
      </c>
      <c r="G958">
        <f t="shared" ca="1" si="175"/>
        <v>60</v>
      </c>
      <c r="H958">
        <f t="shared" ca="1" si="176"/>
        <v>595</v>
      </c>
      <c r="I958" t="str">
        <f t="shared" ca="1" si="177"/>
        <v>Student</v>
      </c>
      <c r="J958" t="str">
        <f t="shared" ca="1" si="178"/>
        <v>Car</v>
      </c>
      <c r="K958" t="str">
        <f t="shared" ca="1" si="179"/>
        <v>Approved</v>
      </c>
      <c r="L958">
        <f t="shared" si="166"/>
        <v>971</v>
      </c>
      <c r="M958">
        <f t="shared" ca="1" si="167"/>
        <v>612</v>
      </c>
      <c r="N958">
        <f t="shared" ca="1" si="168"/>
        <v>292</v>
      </c>
      <c r="O958" s="2">
        <f t="shared" ca="1" si="169"/>
        <v>0.63027806385169927</v>
      </c>
    </row>
    <row r="959" spans="1:15" x14ac:dyDescent="0.3">
      <c r="A959" s="3" t="s">
        <v>1164</v>
      </c>
      <c r="B959" t="str">
        <f t="shared" ca="1" si="170"/>
        <v>Mr. Rohan Gupta</v>
      </c>
      <c r="C959">
        <f t="shared" ca="1" si="171"/>
        <v>23</v>
      </c>
      <c r="D959" t="str">
        <f t="shared" ca="1" si="172"/>
        <v>Female</v>
      </c>
      <c r="E959">
        <f t="shared" ca="1" si="173"/>
        <v>447353</v>
      </c>
      <c r="F959">
        <f t="shared" ca="1" si="174"/>
        <v>1828276</v>
      </c>
      <c r="G959">
        <f t="shared" ca="1" si="175"/>
        <v>36</v>
      </c>
      <c r="H959">
        <f t="shared" ca="1" si="176"/>
        <v>321</v>
      </c>
      <c r="I959" t="str">
        <f t="shared" ca="1" si="177"/>
        <v>Freelancer</v>
      </c>
      <c r="J959" t="str">
        <f t="shared" ca="1" si="178"/>
        <v>Education</v>
      </c>
      <c r="K959" t="str">
        <f t="shared" ca="1" si="179"/>
        <v>Approved</v>
      </c>
      <c r="L959">
        <f t="shared" si="166"/>
        <v>971</v>
      </c>
      <c r="M959">
        <f t="shared" ca="1" si="167"/>
        <v>612</v>
      </c>
      <c r="N959">
        <f t="shared" ca="1" si="168"/>
        <v>292</v>
      </c>
      <c r="O959" s="2">
        <f t="shared" ca="1" si="169"/>
        <v>0.63027806385169927</v>
      </c>
    </row>
    <row r="960" spans="1:15" x14ac:dyDescent="0.3">
      <c r="A960" s="3" t="s">
        <v>1165</v>
      </c>
      <c r="B960" t="str">
        <f t="shared" ca="1" si="170"/>
        <v>Mr. Suresh Rao</v>
      </c>
      <c r="C960">
        <f t="shared" ca="1" si="171"/>
        <v>25</v>
      </c>
      <c r="D960" t="str">
        <f t="shared" ca="1" si="172"/>
        <v>Male</v>
      </c>
      <c r="E960">
        <f t="shared" ca="1" si="173"/>
        <v>229754</v>
      </c>
      <c r="F960">
        <f t="shared" ca="1" si="174"/>
        <v>1644933</v>
      </c>
      <c r="G960">
        <f t="shared" ca="1" si="175"/>
        <v>48</v>
      </c>
      <c r="H960">
        <f t="shared" ca="1" si="176"/>
        <v>654</v>
      </c>
      <c r="I960" t="str">
        <f t="shared" ca="1" si="177"/>
        <v>Student</v>
      </c>
      <c r="J960" t="str">
        <f t="shared" ca="1" si="178"/>
        <v>Personal</v>
      </c>
      <c r="K960" t="str">
        <f t="shared" ca="1" si="179"/>
        <v>Rejected</v>
      </c>
      <c r="L960">
        <f t="shared" si="166"/>
        <v>971</v>
      </c>
      <c r="M960">
        <f t="shared" ca="1" si="167"/>
        <v>612</v>
      </c>
      <c r="N960">
        <f t="shared" ca="1" si="168"/>
        <v>292</v>
      </c>
      <c r="O960" s="2">
        <f t="shared" ca="1" si="169"/>
        <v>0.63027806385169927</v>
      </c>
    </row>
    <row r="961" spans="1:15" x14ac:dyDescent="0.3">
      <c r="A961" s="3" t="s">
        <v>1166</v>
      </c>
      <c r="B961" t="str">
        <f t="shared" ca="1" si="170"/>
        <v>Mr. Raj Kumar</v>
      </c>
      <c r="C961">
        <f t="shared" ca="1" si="171"/>
        <v>21</v>
      </c>
      <c r="D961" t="str">
        <f t="shared" ca="1" si="172"/>
        <v>Male</v>
      </c>
      <c r="E961">
        <f t="shared" ca="1" si="173"/>
        <v>1286830</v>
      </c>
      <c r="F961">
        <f t="shared" ca="1" si="174"/>
        <v>1169242</v>
      </c>
      <c r="G961">
        <f t="shared" ca="1" si="175"/>
        <v>36</v>
      </c>
      <c r="H961">
        <f t="shared" ca="1" si="176"/>
        <v>746</v>
      </c>
      <c r="I961" t="str">
        <f t="shared" ca="1" si="177"/>
        <v>Business</v>
      </c>
      <c r="J961" t="str">
        <f t="shared" ca="1" si="178"/>
        <v>Home</v>
      </c>
      <c r="K961" t="str">
        <f t="shared" ca="1" si="179"/>
        <v>Approved</v>
      </c>
      <c r="L961">
        <f t="shared" si="166"/>
        <v>971</v>
      </c>
      <c r="M961">
        <f t="shared" ca="1" si="167"/>
        <v>612</v>
      </c>
      <c r="N961">
        <f t="shared" ca="1" si="168"/>
        <v>292</v>
      </c>
      <c r="O961" s="2">
        <f t="shared" ca="1" si="169"/>
        <v>0.63027806385169927</v>
      </c>
    </row>
    <row r="962" spans="1:15" x14ac:dyDescent="0.3">
      <c r="A962" s="3" t="s">
        <v>1167</v>
      </c>
      <c r="B962" t="str">
        <f t="shared" ca="1" si="170"/>
        <v>Mr. Amit Das</v>
      </c>
      <c r="C962">
        <f t="shared" ca="1" si="171"/>
        <v>25</v>
      </c>
      <c r="D962" t="str">
        <f t="shared" ca="1" si="172"/>
        <v>Female</v>
      </c>
      <c r="E962">
        <f t="shared" ca="1" si="173"/>
        <v>1726041</v>
      </c>
      <c r="F962">
        <f t="shared" ca="1" si="174"/>
        <v>351039</v>
      </c>
      <c r="G962">
        <f t="shared" ca="1" si="175"/>
        <v>24</v>
      </c>
      <c r="H962">
        <f t="shared" ca="1" si="176"/>
        <v>487</v>
      </c>
      <c r="I962" t="str">
        <f t="shared" ca="1" si="177"/>
        <v>Business</v>
      </c>
      <c r="J962" t="str">
        <f t="shared" ca="1" si="178"/>
        <v>Personal</v>
      </c>
      <c r="K962" t="str">
        <f t="shared" ca="1" si="179"/>
        <v>Approved</v>
      </c>
      <c r="L962">
        <f t="shared" ref="L962:L972" si="180">COUNTA($A$2:$A$1001)</f>
        <v>971</v>
      </c>
      <c r="M962">
        <f t="shared" ca="1" si="167"/>
        <v>612</v>
      </c>
      <c r="N962">
        <f t="shared" ca="1" si="168"/>
        <v>292</v>
      </c>
      <c r="O962" s="2">
        <f t="shared" ca="1" si="169"/>
        <v>0.63027806385169927</v>
      </c>
    </row>
    <row r="963" spans="1:15" x14ac:dyDescent="0.3">
      <c r="A963" s="3" t="s">
        <v>1168</v>
      </c>
      <c r="B963" t="str">
        <f t="shared" ca="1" si="170"/>
        <v>Ms. Neha Verma</v>
      </c>
      <c r="C963">
        <f t="shared" ca="1" si="171"/>
        <v>42</v>
      </c>
      <c r="D963" t="str">
        <f t="shared" ca="1" si="172"/>
        <v>Male</v>
      </c>
      <c r="E963">
        <f t="shared" ca="1" si="173"/>
        <v>1165444</v>
      </c>
      <c r="F963">
        <f t="shared" ca="1" si="174"/>
        <v>151134</v>
      </c>
      <c r="G963">
        <f t="shared" ca="1" si="175"/>
        <v>12</v>
      </c>
      <c r="H963">
        <f t="shared" ca="1" si="176"/>
        <v>582</v>
      </c>
      <c r="I963" t="str">
        <f t="shared" ca="1" si="177"/>
        <v>Student</v>
      </c>
      <c r="J963" t="str">
        <f t="shared" ca="1" si="178"/>
        <v>Education</v>
      </c>
      <c r="K963" t="str">
        <f t="shared" ca="1" si="179"/>
        <v>Rejected</v>
      </c>
      <c r="L963">
        <f t="shared" si="180"/>
        <v>971</v>
      </c>
      <c r="M963">
        <f t="shared" ref="M963:M972" ca="1" si="181">COUNTIF($K$2:$K$1001,"Approved")</f>
        <v>612</v>
      </c>
      <c r="N963">
        <f t="shared" ref="N963:N972" ca="1" si="182">COUNTIF($K$2:$K$1001,"Rejected")</f>
        <v>292</v>
      </c>
      <c r="O963" s="2">
        <f t="shared" ref="O963:O972" ca="1" si="183">COUNTIF($K$2:$K$1001,"Approved") / COUNTA($A$2:$A$1001)</f>
        <v>0.63027806385169927</v>
      </c>
    </row>
    <row r="964" spans="1:15" x14ac:dyDescent="0.3">
      <c r="A964" s="3" t="s">
        <v>1169</v>
      </c>
      <c r="B964" t="str">
        <f t="shared" ca="1" si="170"/>
        <v>Mr. Amit Das</v>
      </c>
      <c r="C964">
        <f t="shared" ca="1" si="171"/>
        <v>46</v>
      </c>
      <c r="D964" t="str">
        <f t="shared" ca="1" si="172"/>
        <v>Female</v>
      </c>
      <c r="E964">
        <f t="shared" ca="1" si="173"/>
        <v>321344</v>
      </c>
      <c r="F964">
        <f t="shared" ca="1" si="174"/>
        <v>1996581</v>
      </c>
      <c r="G964">
        <f t="shared" ca="1" si="175"/>
        <v>36</v>
      </c>
      <c r="H964">
        <f t="shared" ca="1" si="176"/>
        <v>444</v>
      </c>
      <c r="I964" t="str">
        <f t="shared" ca="1" si="177"/>
        <v>Contract-Based</v>
      </c>
      <c r="J964" t="str">
        <f t="shared" ca="1" si="178"/>
        <v>Home</v>
      </c>
      <c r="K964" t="str">
        <f t="shared" ca="1" si="179"/>
        <v>Approved</v>
      </c>
      <c r="L964">
        <f t="shared" si="180"/>
        <v>971</v>
      </c>
      <c r="M964">
        <f t="shared" ca="1" si="181"/>
        <v>612</v>
      </c>
      <c r="N964">
        <f t="shared" ca="1" si="182"/>
        <v>292</v>
      </c>
      <c r="O964" s="2">
        <f t="shared" ca="1" si="183"/>
        <v>0.63027806385169927</v>
      </c>
    </row>
    <row r="965" spans="1:15" x14ac:dyDescent="0.3">
      <c r="A965" s="3" t="s">
        <v>1170</v>
      </c>
      <c r="B965" t="str">
        <f t="shared" ca="1" si="170"/>
        <v>Ms. Priya Sharma</v>
      </c>
      <c r="C965">
        <f t="shared" ca="1" si="171"/>
        <v>33</v>
      </c>
      <c r="D965" t="str">
        <f t="shared" ca="1" si="172"/>
        <v>Female</v>
      </c>
      <c r="E965">
        <f t="shared" ca="1" si="173"/>
        <v>1419738</v>
      </c>
      <c r="F965">
        <f t="shared" ca="1" si="174"/>
        <v>1100233</v>
      </c>
      <c r="G965">
        <f t="shared" ca="1" si="175"/>
        <v>12</v>
      </c>
      <c r="H965">
        <f t="shared" ca="1" si="176"/>
        <v>795</v>
      </c>
      <c r="I965" t="str">
        <f t="shared" ca="1" si="177"/>
        <v>Student</v>
      </c>
      <c r="J965" t="str">
        <f t="shared" ca="1" si="178"/>
        <v>Car</v>
      </c>
      <c r="K965" t="str">
        <f t="shared" ca="1" si="179"/>
        <v>Approved</v>
      </c>
      <c r="L965">
        <f t="shared" si="180"/>
        <v>971</v>
      </c>
      <c r="M965">
        <f t="shared" ca="1" si="181"/>
        <v>612</v>
      </c>
      <c r="N965">
        <f t="shared" ca="1" si="182"/>
        <v>292</v>
      </c>
      <c r="O965" s="2">
        <f t="shared" ca="1" si="183"/>
        <v>0.63027806385169927</v>
      </c>
    </row>
    <row r="966" spans="1:15" x14ac:dyDescent="0.3">
      <c r="A966" s="3" t="s">
        <v>1171</v>
      </c>
      <c r="B966" t="str">
        <f t="shared" ca="1" si="170"/>
        <v>Mr. Amit Das</v>
      </c>
      <c r="C966">
        <f t="shared" ca="1" si="171"/>
        <v>35</v>
      </c>
      <c r="D966" t="str">
        <f t="shared" ca="1" si="172"/>
        <v>Female</v>
      </c>
      <c r="E966">
        <f t="shared" ca="1" si="173"/>
        <v>1366575</v>
      </c>
      <c r="F966">
        <f t="shared" ca="1" si="174"/>
        <v>292533</v>
      </c>
      <c r="G966">
        <f t="shared" ca="1" si="175"/>
        <v>36</v>
      </c>
      <c r="H966">
        <f t="shared" ca="1" si="176"/>
        <v>345</v>
      </c>
      <c r="I966" t="str">
        <f t="shared" ca="1" si="177"/>
        <v>Student</v>
      </c>
      <c r="J966" t="str">
        <f t="shared" ca="1" si="178"/>
        <v>Personal</v>
      </c>
      <c r="K966" t="str">
        <f t="shared" ca="1" si="179"/>
        <v>Approved</v>
      </c>
      <c r="L966">
        <f t="shared" si="180"/>
        <v>971</v>
      </c>
      <c r="M966">
        <f t="shared" ca="1" si="181"/>
        <v>612</v>
      </c>
      <c r="N966">
        <f t="shared" ca="1" si="182"/>
        <v>292</v>
      </c>
      <c r="O966" s="2">
        <f t="shared" ca="1" si="183"/>
        <v>0.63027806385169927</v>
      </c>
    </row>
    <row r="967" spans="1:15" x14ac:dyDescent="0.3">
      <c r="A967" s="3" t="s">
        <v>1172</v>
      </c>
      <c r="B967" t="str">
        <f t="shared" ca="1" si="170"/>
        <v>Mr. Rohan Gupta</v>
      </c>
      <c r="C967">
        <f t="shared" ca="1" si="171"/>
        <v>61</v>
      </c>
      <c r="D967" t="str">
        <f t="shared" ca="1" si="172"/>
        <v>Female</v>
      </c>
      <c r="E967">
        <f t="shared" ca="1" si="173"/>
        <v>1107816</v>
      </c>
      <c r="F967">
        <f t="shared" ca="1" si="174"/>
        <v>2279947</v>
      </c>
      <c r="G967">
        <f t="shared" ca="1" si="175"/>
        <v>60</v>
      </c>
      <c r="H967">
        <f t="shared" ca="1" si="176"/>
        <v>487</v>
      </c>
      <c r="I967" t="str">
        <f t="shared" ca="1" si="177"/>
        <v>Contract-Based</v>
      </c>
      <c r="J967" t="str">
        <f t="shared" ca="1" si="178"/>
        <v>Education</v>
      </c>
      <c r="K967" t="str">
        <f t="shared" ca="1" si="179"/>
        <v>Approved</v>
      </c>
      <c r="L967">
        <f t="shared" si="180"/>
        <v>971</v>
      </c>
      <c r="M967">
        <f t="shared" ca="1" si="181"/>
        <v>612</v>
      </c>
      <c r="N967">
        <f t="shared" ca="1" si="182"/>
        <v>292</v>
      </c>
      <c r="O967" s="2">
        <f t="shared" ca="1" si="183"/>
        <v>0.63027806385169927</v>
      </c>
    </row>
    <row r="968" spans="1:15" x14ac:dyDescent="0.3">
      <c r="A968" s="3" t="s">
        <v>1173</v>
      </c>
      <c r="B968" t="str">
        <f t="shared" ca="1" si="170"/>
        <v>Ms. Anjali Singh</v>
      </c>
      <c r="C968">
        <f t="shared" ca="1" si="171"/>
        <v>45</v>
      </c>
      <c r="D968" t="str">
        <f t="shared" ca="1" si="172"/>
        <v>Female</v>
      </c>
      <c r="E968">
        <f t="shared" ca="1" si="173"/>
        <v>1108513</v>
      </c>
      <c r="F968">
        <f t="shared" ca="1" si="174"/>
        <v>436305</v>
      </c>
      <c r="G968">
        <f t="shared" ca="1" si="175"/>
        <v>48</v>
      </c>
      <c r="H968">
        <f t="shared" ca="1" si="176"/>
        <v>460</v>
      </c>
      <c r="I968" t="str">
        <f t="shared" ca="1" si="177"/>
        <v>Freelancer</v>
      </c>
      <c r="J968" t="str">
        <f t="shared" ca="1" si="178"/>
        <v>Home</v>
      </c>
      <c r="K968" t="str">
        <f t="shared" ca="1" si="179"/>
        <v>Approved</v>
      </c>
      <c r="L968">
        <f t="shared" si="180"/>
        <v>971</v>
      </c>
      <c r="M968">
        <f t="shared" ca="1" si="181"/>
        <v>612</v>
      </c>
      <c r="N968">
        <f t="shared" ca="1" si="182"/>
        <v>292</v>
      </c>
      <c r="O968" s="2">
        <f t="shared" ca="1" si="183"/>
        <v>0.63027806385169927</v>
      </c>
    </row>
    <row r="969" spans="1:15" x14ac:dyDescent="0.3">
      <c r="A969" s="3" t="s">
        <v>1174</v>
      </c>
      <c r="B969" t="str">
        <f t="shared" ca="1" si="170"/>
        <v>Mr. Rohan Gupta</v>
      </c>
      <c r="C969">
        <f t="shared" ca="1" si="171"/>
        <v>54</v>
      </c>
      <c r="D969" t="str">
        <f t="shared" ca="1" si="172"/>
        <v>Male</v>
      </c>
      <c r="E969">
        <f t="shared" ca="1" si="173"/>
        <v>1411295</v>
      </c>
      <c r="F969">
        <f t="shared" ca="1" si="174"/>
        <v>2201805</v>
      </c>
      <c r="G969">
        <f t="shared" ca="1" si="175"/>
        <v>72</v>
      </c>
      <c r="H969">
        <f t="shared" ca="1" si="176"/>
        <v>323</v>
      </c>
      <c r="I969" t="str">
        <f t="shared" ca="1" si="177"/>
        <v>Student</v>
      </c>
      <c r="J969" t="str">
        <f t="shared" ca="1" si="178"/>
        <v>Car</v>
      </c>
      <c r="K969" t="str">
        <f t="shared" ca="1" si="179"/>
        <v>Approved</v>
      </c>
      <c r="L969">
        <f t="shared" si="180"/>
        <v>971</v>
      </c>
      <c r="M969">
        <f t="shared" ca="1" si="181"/>
        <v>612</v>
      </c>
      <c r="N969">
        <f t="shared" ca="1" si="182"/>
        <v>292</v>
      </c>
      <c r="O969" s="2">
        <f t="shared" ca="1" si="183"/>
        <v>0.63027806385169927</v>
      </c>
    </row>
    <row r="970" spans="1:15" x14ac:dyDescent="0.3">
      <c r="A970" s="3" t="s">
        <v>1175</v>
      </c>
      <c r="B970" t="str">
        <f t="shared" ca="1" si="170"/>
        <v>Ms. Neha Verma</v>
      </c>
      <c r="C970">
        <f t="shared" ca="1" si="171"/>
        <v>36</v>
      </c>
      <c r="D970" t="str">
        <f t="shared" ca="1" si="172"/>
        <v>Male</v>
      </c>
      <c r="E970">
        <f t="shared" ca="1" si="173"/>
        <v>1465898</v>
      </c>
      <c r="F970">
        <f t="shared" ca="1" si="174"/>
        <v>2471366</v>
      </c>
      <c r="G970">
        <f t="shared" ca="1" si="175"/>
        <v>84</v>
      </c>
      <c r="H970">
        <f t="shared" ca="1" si="176"/>
        <v>411</v>
      </c>
      <c r="I970" t="str">
        <f t="shared" ca="1" si="177"/>
        <v>Salaried</v>
      </c>
      <c r="J970" t="str">
        <f t="shared" ca="1" si="178"/>
        <v>Business</v>
      </c>
      <c r="K970" t="str">
        <f t="shared" ca="1" si="179"/>
        <v>Approved</v>
      </c>
      <c r="L970">
        <f t="shared" si="180"/>
        <v>971</v>
      </c>
      <c r="M970">
        <f t="shared" ca="1" si="181"/>
        <v>612</v>
      </c>
      <c r="N970">
        <f t="shared" ca="1" si="182"/>
        <v>292</v>
      </c>
      <c r="O970" s="2">
        <f t="shared" ca="1" si="183"/>
        <v>0.63027806385169927</v>
      </c>
    </row>
    <row r="971" spans="1:15" x14ac:dyDescent="0.3">
      <c r="A971" s="3" t="s">
        <v>1176</v>
      </c>
      <c r="B971" t="str">
        <f t="shared" ref="B971:B972" ca="1" si="184">CHOOSE(RANDBETWEEN(1,10),
"Mr. Raj Kumar","Ms. Priya Sharma","Mr. Amit Das","Ms. Anjali Singh","Mr. Rohan Gupta",
"Ms. Neha Verma","Mr. Suresh Rao","Ms. Pooja Patel","Mr. Arun Kumar","Ms. Kajal Yadav")</f>
        <v>Ms. Kajal Yadav</v>
      </c>
      <c r="C971">
        <f t="shared" ref="C971:C972" ca="1" si="185">RANDBETWEEN(21,65)</f>
        <v>48</v>
      </c>
      <c r="D971" t="str">
        <f t="shared" ref="D971:D972" ca="1" si="186">IF(LEFT(B771,3)="Mr.","Male","Female")</f>
        <v>Female</v>
      </c>
      <c r="E971">
        <f t="shared" ref="E971:E972" ca="1" si="187">RANDBETWEEN(200000,2000000)</f>
        <v>1054460</v>
      </c>
      <c r="F971">
        <f t="shared" ref="F971:F972" ca="1" si="188">RANDBETWEEN(50000,2500000)</f>
        <v>451825</v>
      </c>
      <c r="G971">
        <f t="shared" ref="G971:G972" ca="1" si="189">CHOOSE(RANDBETWEEN(1,7),12,24,36,48,60,72,84)</f>
        <v>72</v>
      </c>
      <c r="H971">
        <f t="shared" ref="H971:H972" ca="1" si="190">RANDBETWEEN(300,900)</f>
        <v>530</v>
      </c>
      <c r="I971" t="str">
        <f t="shared" ref="I971:I972" ca="1" si="191">CHOOSE(RANDBETWEEN(1,6),
"Salaried","Self-Employed","Business","Freelancer","Student","Contract-Based")</f>
        <v>Contract-Based</v>
      </c>
      <c r="J971" t="str">
        <f t="shared" ref="J971:J972" ca="1" si="192">CHOOSE(RANDBETWEEN(1,5),
"Home","Car","Education","Business","Personal")</f>
        <v>Education</v>
      </c>
      <c r="K971" t="str">
        <f t="shared" ref="K971:K972" ca="1" si="193">IF(RANDBETWEEN(1,100)&lt;=70,"Approved","Rejected")</f>
        <v>Approved</v>
      </c>
      <c r="L971">
        <f t="shared" si="180"/>
        <v>971</v>
      </c>
      <c r="M971">
        <f t="shared" ca="1" si="181"/>
        <v>612</v>
      </c>
      <c r="N971">
        <f t="shared" ca="1" si="182"/>
        <v>292</v>
      </c>
      <c r="O971" s="2">
        <f t="shared" ca="1" si="183"/>
        <v>0.63027806385169927</v>
      </c>
    </row>
    <row r="972" spans="1:15" x14ac:dyDescent="0.3">
      <c r="A972" s="3" t="s">
        <v>1177</v>
      </c>
      <c r="B972" t="str">
        <f t="shared" ca="1" si="184"/>
        <v>Mr. Arun Kumar</v>
      </c>
      <c r="C972">
        <f t="shared" ca="1" si="185"/>
        <v>23</v>
      </c>
      <c r="D972" t="str">
        <f t="shared" ca="1" si="186"/>
        <v>Male</v>
      </c>
      <c r="E972">
        <f t="shared" ca="1" si="187"/>
        <v>1655959</v>
      </c>
      <c r="F972">
        <f t="shared" ca="1" si="188"/>
        <v>579706</v>
      </c>
      <c r="G972">
        <f t="shared" ca="1" si="189"/>
        <v>48</v>
      </c>
      <c r="H972">
        <f t="shared" ca="1" si="190"/>
        <v>303</v>
      </c>
      <c r="I972" t="str">
        <f t="shared" ca="1" si="191"/>
        <v>Contract-Based</v>
      </c>
      <c r="J972" t="str">
        <f t="shared" ca="1" si="192"/>
        <v>Home</v>
      </c>
      <c r="K972" t="str">
        <f t="shared" ca="1" si="193"/>
        <v>Approved</v>
      </c>
      <c r="L972">
        <f t="shared" si="180"/>
        <v>971</v>
      </c>
      <c r="M972">
        <f t="shared" ca="1" si="181"/>
        <v>612</v>
      </c>
      <c r="N972">
        <f t="shared" ca="1" si="182"/>
        <v>292</v>
      </c>
      <c r="O972" s="2">
        <f t="shared" ca="1" si="183"/>
        <v>0.63027806385169927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Raj Kumar Bauri</cp:lastModifiedBy>
  <dcterms:created xsi:type="dcterms:W3CDTF">2025-12-04T18:11:55Z</dcterms:created>
  <dcterms:modified xsi:type="dcterms:W3CDTF">2025-12-06T11:10:51Z</dcterms:modified>
</cp:coreProperties>
</file>